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72EB640B-4A33-4C48-A00E-E1B165486A3D}" xr6:coauthVersionLast="47" xr6:coauthVersionMax="47" xr10:uidLastSave="{00000000-0000-0000-0000-000000000000}"/>
  <bookViews>
    <workbookView xWindow="-98" yWindow="-98" windowWidth="21795" windowHeight="12975" xr2:uid="{EF7BF5A8-BA5F-479F-86D0-BE72BC5ECA5B}"/>
  </bookViews>
  <sheets>
    <sheet name="貼付シート" sheetId="1" r:id="rId1"/>
    <sheet name="抽出シート" sheetId="2" r:id="rId2"/>
    <sheet name="手順書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2" i="4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  <c r="A80" i="1"/>
  <c r="C80" i="1"/>
  <c r="B80" i="1" s="1"/>
  <c r="A81" i="1"/>
  <c r="C81" i="1"/>
  <c r="A82" i="1"/>
  <c r="C82" i="1"/>
  <c r="A83" i="1"/>
  <c r="C83" i="1"/>
  <c r="A84" i="1"/>
  <c r="C84" i="1"/>
  <c r="A85" i="1"/>
  <c r="C85" i="1"/>
  <c r="A86" i="1"/>
  <c r="C86" i="1"/>
  <c r="A87" i="1"/>
  <c r="C87" i="1"/>
  <c r="A88" i="1"/>
  <c r="C88" i="1"/>
  <c r="A89" i="1"/>
  <c r="C89" i="1"/>
  <c r="A90" i="1"/>
  <c r="B28" i="2" s="1" a="1"/>
  <c r="B28" i="2" s="1"/>
  <c r="C90" i="1"/>
  <c r="A91" i="1"/>
  <c r="C91" i="1"/>
  <c r="A92" i="1"/>
  <c r="C92" i="1"/>
  <c r="A93" i="1"/>
  <c r="B93" i="1"/>
  <c r="C93" i="1"/>
  <c r="A94" i="1"/>
  <c r="C94" i="1"/>
  <c r="B94" i="1" s="1"/>
  <c r="A95" i="1"/>
  <c r="C95" i="1"/>
  <c r="B95" i="1" s="1"/>
  <c r="A96" i="1"/>
  <c r="C96" i="1"/>
  <c r="A97" i="1"/>
  <c r="C97" i="1"/>
  <c r="A98" i="1"/>
  <c r="C98" i="1"/>
  <c r="A99" i="1"/>
  <c r="C99" i="1"/>
  <c r="A100" i="1"/>
  <c r="C100" i="1"/>
  <c r="A101" i="1"/>
  <c r="C101" i="1"/>
  <c r="A102" i="1"/>
  <c r="C102" i="1"/>
  <c r="A103" i="1"/>
  <c r="C103" i="1"/>
  <c r="A104" i="1"/>
  <c r="C104" i="1"/>
  <c r="A105" i="1"/>
  <c r="C105" i="1"/>
  <c r="A106" i="1"/>
  <c r="C106" i="1"/>
  <c r="A107" i="1"/>
  <c r="C107" i="1"/>
  <c r="A108" i="1"/>
  <c r="C108" i="1"/>
  <c r="A109" i="1"/>
  <c r="C109" i="1"/>
  <c r="A110" i="1"/>
  <c r="C110" i="1"/>
  <c r="A111" i="1"/>
  <c r="C111" i="1"/>
  <c r="B111" i="1" s="1"/>
  <c r="A112" i="1"/>
  <c r="C112" i="1"/>
  <c r="A113" i="1"/>
  <c r="C113" i="1"/>
  <c r="A114" i="1"/>
  <c r="C114" i="1"/>
  <c r="A115" i="1"/>
  <c r="C115" i="1"/>
  <c r="A116" i="1"/>
  <c r="C116" i="1"/>
  <c r="A117" i="1"/>
  <c r="C117" i="1"/>
  <c r="A118" i="1"/>
  <c r="C118" i="1"/>
  <c r="A119" i="1"/>
  <c r="C119" i="1"/>
  <c r="A120" i="1"/>
  <c r="C120" i="1"/>
  <c r="A121" i="1"/>
  <c r="C121" i="1"/>
  <c r="A122" i="1"/>
  <c r="C122" i="1"/>
  <c r="A123" i="1"/>
  <c r="C123" i="1"/>
  <c r="A124" i="1"/>
  <c r="C124" i="1"/>
  <c r="A125" i="1"/>
  <c r="C125" i="1"/>
  <c r="A126" i="1"/>
  <c r="C126" i="1"/>
  <c r="A127" i="1"/>
  <c r="C127" i="1"/>
  <c r="A128" i="1"/>
  <c r="C128" i="1"/>
  <c r="B128" i="1" s="1"/>
  <c r="A129" i="1"/>
  <c r="B129" i="1"/>
  <c r="B130" i="1" s="1"/>
  <c r="C129" i="1"/>
  <c r="A130" i="1"/>
  <c r="C130" i="1"/>
  <c r="A131" i="1"/>
  <c r="C131" i="1"/>
  <c r="A132" i="1"/>
  <c r="C132" i="1"/>
  <c r="A133" i="1"/>
  <c r="C133" i="1"/>
  <c r="A134" i="1"/>
  <c r="C134" i="1"/>
  <c r="A135" i="1"/>
  <c r="C135" i="1"/>
  <c r="A136" i="1"/>
  <c r="C136" i="1"/>
  <c r="A137" i="1"/>
  <c r="C137" i="1"/>
  <c r="A138" i="1"/>
  <c r="C138" i="1"/>
  <c r="A139" i="1"/>
  <c r="C139" i="1"/>
  <c r="A140" i="1"/>
  <c r="C140" i="1"/>
  <c r="A141" i="1"/>
  <c r="C141" i="1"/>
  <c r="A142" i="1"/>
  <c r="C142" i="1"/>
  <c r="A143" i="1"/>
  <c r="C143" i="1"/>
  <c r="A144" i="1"/>
  <c r="C144" i="1"/>
  <c r="A145" i="1"/>
  <c r="B145" i="1"/>
  <c r="B146" i="1" s="1"/>
  <c r="C145" i="1"/>
  <c r="A146" i="1"/>
  <c r="C146" i="1"/>
  <c r="A147" i="1"/>
  <c r="C147" i="1"/>
  <c r="A148" i="1"/>
  <c r="C148" i="1"/>
  <c r="A149" i="1"/>
  <c r="C149" i="1"/>
  <c r="A150" i="1"/>
  <c r="C150" i="1"/>
  <c r="A151" i="1"/>
  <c r="C151" i="1"/>
  <c r="A152" i="1"/>
  <c r="C152" i="1"/>
  <c r="A153" i="1"/>
  <c r="C153" i="1"/>
  <c r="A154" i="1"/>
  <c r="C154" i="1"/>
  <c r="A155" i="1"/>
  <c r="C155" i="1"/>
  <c r="A156" i="1"/>
  <c r="C156" i="1"/>
  <c r="A157" i="1"/>
  <c r="C157" i="1"/>
  <c r="A158" i="1"/>
  <c r="C158" i="1"/>
  <c r="A159" i="1"/>
  <c r="C159" i="1"/>
  <c r="B20" i="2" a="1"/>
  <c r="B20" i="2" s="1"/>
  <c r="B90" i="2" a="1"/>
  <c r="B90" i="2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/>
  <c r="B39" i="1"/>
  <c r="B40" i="1"/>
  <c r="B41" i="1" s="1"/>
  <c r="B42" i="1" s="1"/>
  <c r="B43" i="1" s="1"/>
  <c r="B44" i="1" s="1"/>
  <c r="B45" i="1" s="1"/>
  <c r="B46" i="1" s="1"/>
  <c r="B47" i="1" s="1"/>
  <c r="B48" i="1"/>
  <c r="B49" i="1" s="1"/>
  <c r="B50" i="1" s="1"/>
  <c r="B51" i="1" s="1"/>
  <c r="B52" i="1" s="1"/>
  <c r="B53" i="1" s="1"/>
  <c r="B54" i="1" s="1"/>
  <c r="B55" i="1" s="1"/>
  <c r="B56" i="1"/>
  <c r="B57" i="1"/>
  <c r="B58" i="1" s="1"/>
  <c r="B59" i="1" s="1"/>
  <c r="B60" i="1" s="1"/>
  <c r="B61" i="1" s="1"/>
  <c r="B62" i="1" s="1"/>
  <c r="B63" i="1" s="1"/>
  <c r="B64" i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/>
  <c r="B79" i="1" s="1"/>
  <c r="B6" i="1"/>
  <c r="B7" i="1"/>
  <c r="B8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6" i="1"/>
  <c r="A7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" i="1"/>
  <c r="B21" i="2" l="1" a="1"/>
  <c r="B21" i="2" s="1"/>
  <c r="B84" i="2" a="1"/>
  <c r="B84" i="2" s="1"/>
  <c r="B13" i="2" a="1"/>
  <c r="B13" i="2" s="1"/>
  <c r="B2" i="2" a="1"/>
  <c r="B2" i="2" s="1"/>
  <c r="B101" i="2" a="1"/>
  <c r="B101" i="2" s="1"/>
  <c r="B57" i="2" a="1"/>
  <c r="B57" i="2" s="1"/>
  <c r="B8" i="2" a="1"/>
  <c r="B8" i="2" s="1"/>
  <c r="B82" i="2" a="1"/>
  <c r="B82" i="2" s="1"/>
  <c r="B31" i="2" a="1"/>
  <c r="B31" i="2" s="1"/>
  <c r="B76" i="2" a="1"/>
  <c r="B76" i="2" s="1"/>
  <c r="B55" i="2" a="1"/>
  <c r="B55" i="2" s="1"/>
  <c r="B83" i="2" a="1"/>
  <c r="B83" i="2" s="1"/>
  <c r="B67" i="2" a="1"/>
  <c r="B67" i="2" s="1"/>
  <c r="B77" i="2" a="1"/>
  <c r="B77" i="2" s="1"/>
  <c r="B7" i="2" a="1"/>
  <c r="B7" i="2" s="1"/>
  <c r="B94" i="2" a="1"/>
  <c r="B94" i="2" s="1"/>
  <c r="B73" i="2" a="1"/>
  <c r="B73" i="2" s="1"/>
  <c r="B27" i="2" a="1"/>
  <c r="B27" i="2" s="1"/>
  <c r="B93" i="2" a="1"/>
  <c r="B93" i="2" s="1"/>
  <c r="B147" i="1"/>
  <c r="B148" i="1" s="1"/>
  <c r="B149" i="1" s="1"/>
  <c r="B131" i="1"/>
  <c r="B132" i="1" s="1"/>
  <c r="B133" i="1" s="1"/>
  <c r="B134" i="1" s="1"/>
  <c r="B115" i="1"/>
  <c r="B116" i="1" s="1"/>
  <c r="B117" i="1" s="1"/>
  <c r="B53" i="2" s="1" a="1"/>
  <c r="B53" i="2" s="1"/>
  <c r="B112" i="1"/>
  <c r="B113" i="1" s="1"/>
  <c r="B114" i="1" s="1"/>
  <c r="B100" i="2" a="1"/>
  <c r="B100" i="2" s="1"/>
  <c r="B72" i="2" a="1"/>
  <c r="B72" i="2" s="1"/>
  <c r="B6" i="2" a="1"/>
  <c r="B6" i="2" s="1"/>
  <c r="B150" i="1"/>
  <c r="B151" i="1" s="1"/>
  <c r="B118" i="1"/>
  <c r="B119" i="1" s="1"/>
  <c r="B120" i="1" s="1"/>
  <c r="B99" i="2" a="1"/>
  <c r="B99" i="2" s="1"/>
  <c r="B89" i="2" a="1"/>
  <c r="B89" i="2" s="1"/>
  <c r="B79" i="2" a="1"/>
  <c r="B79" i="2" s="1"/>
  <c r="B34" i="2" a="1"/>
  <c r="B34" i="2" s="1"/>
  <c r="B26" i="2" a="1"/>
  <c r="B26" i="2" s="1"/>
  <c r="B16" i="2" a="1"/>
  <c r="B16" i="2" s="1"/>
  <c r="B3" i="2" a="1"/>
  <c r="B3" i="2" s="1"/>
  <c r="B9" i="2" a="1"/>
  <c r="B9" i="2" s="1"/>
  <c r="B12" i="2" a="1"/>
  <c r="B12" i="2" s="1"/>
  <c r="B19" i="2" a="1"/>
  <c r="B19" i="2" s="1"/>
  <c r="B25" i="2" a="1"/>
  <c r="B25" i="2" s="1"/>
  <c r="B36" i="2" a="1"/>
  <c r="B36" i="2" s="1"/>
  <c r="B75" i="2" a="1"/>
  <c r="B75" i="2" s="1"/>
  <c r="B81" i="2" a="1"/>
  <c r="B81" i="2" s="1"/>
  <c r="B96" i="2" a="1"/>
  <c r="B96" i="2" s="1"/>
  <c r="B88" i="2" a="1"/>
  <c r="B88" i="2" s="1"/>
  <c r="B78" i="2" a="1"/>
  <c r="B78" i="2" s="1"/>
  <c r="B70" i="2" a="1"/>
  <c r="B70" i="2" s="1"/>
  <c r="B33" i="2" a="1"/>
  <c r="B33" i="2" s="1"/>
  <c r="B15" i="2" a="1"/>
  <c r="B15" i="2" s="1"/>
  <c r="B81" i="1"/>
  <c r="B82" i="1" s="1"/>
  <c r="B83" i="1" s="1"/>
  <c r="B95" i="2" a="1"/>
  <c r="B95" i="2" s="1"/>
  <c r="B87" i="2" a="1"/>
  <c r="B87" i="2" s="1"/>
  <c r="B60" i="2" a="1"/>
  <c r="B60" i="2" s="1"/>
  <c r="B50" i="2" a="1"/>
  <c r="B50" i="2" s="1"/>
  <c r="B14" i="2" a="1"/>
  <c r="B14" i="2" s="1"/>
  <c r="B152" i="1"/>
  <c r="B153" i="1" s="1"/>
  <c r="B5" i="2" a="1"/>
  <c r="B5" i="2" s="1"/>
  <c r="B59" i="2" a="1"/>
  <c r="B59" i="2" s="1"/>
  <c r="B49" i="2" a="1"/>
  <c r="B49" i="2" s="1"/>
  <c r="B32" i="2" a="1"/>
  <c r="B32" i="2" s="1"/>
  <c r="B22" i="2" a="1"/>
  <c r="B22" i="2" s="1"/>
  <c r="B96" i="1"/>
  <c r="B41" i="2" s="1" a="1"/>
  <c r="B41" i="2" s="1"/>
  <c r="B4" i="2" a="1"/>
  <c r="B4" i="2" s="1"/>
  <c r="B98" i="2" a="1"/>
  <c r="B98" i="2" s="1"/>
  <c r="B92" i="2" a="1"/>
  <c r="B92" i="2" s="1"/>
  <c r="B86" i="2" a="1"/>
  <c r="B86" i="2" s="1"/>
  <c r="B74" i="2" a="1"/>
  <c r="B74" i="2" s="1"/>
  <c r="B69" i="2" a="1"/>
  <c r="B69" i="2" s="1"/>
  <c r="B58" i="2" a="1"/>
  <c r="B58" i="2" s="1"/>
  <c r="B30" i="2" a="1"/>
  <c r="B30" i="2" s="1"/>
  <c r="B24" i="2" a="1"/>
  <c r="B24" i="2" s="1"/>
  <c r="B18" i="2" a="1"/>
  <c r="B18" i="2" s="1"/>
  <c r="B11" i="2" a="1"/>
  <c r="B11" i="2" s="1"/>
  <c r="B97" i="2" a="1"/>
  <c r="B97" i="2" s="1"/>
  <c r="B91" i="2" a="1"/>
  <c r="B91" i="2" s="1"/>
  <c r="B85" i="2" a="1"/>
  <c r="B85" i="2" s="1"/>
  <c r="B80" i="2" a="1"/>
  <c r="B80" i="2" s="1"/>
  <c r="B51" i="2" a="1"/>
  <c r="B51" i="2" s="1"/>
  <c r="B40" i="2" a="1"/>
  <c r="B40" i="2" s="1"/>
  <c r="B29" i="2" a="1"/>
  <c r="B29" i="2" s="1"/>
  <c r="B23" i="2" a="1"/>
  <c r="B23" i="2" s="1"/>
  <c r="B17" i="2" a="1"/>
  <c r="B17" i="2" s="1"/>
  <c r="B10" i="2" a="1"/>
  <c r="B10" i="2" s="1"/>
  <c r="A65" i="2" a="1"/>
  <c r="A65" i="2" s="1"/>
  <c r="D65" i="2" s="1"/>
  <c r="A55" i="2" a="1"/>
  <c r="A55" i="2" s="1"/>
  <c r="D55" i="2" s="1"/>
  <c r="A36" i="2" a="1"/>
  <c r="A36" i="2" s="1"/>
  <c r="A8" i="2" a="1"/>
  <c r="A8" i="2" s="1"/>
  <c r="A100" i="2" a="1"/>
  <c r="A100" i="2" s="1"/>
  <c r="A91" i="2" a="1"/>
  <c r="A91" i="2" s="1"/>
  <c r="A83" i="2" a="1"/>
  <c r="A83" i="2" s="1"/>
  <c r="A75" i="2" a="1"/>
  <c r="A75" i="2" s="1"/>
  <c r="A13" i="2" a="1"/>
  <c r="A13" i="2" s="1"/>
  <c r="A17" i="2" a="1"/>
  <c r="A17" i="2" s="1"/>
  <c r="A21" i="2" a="1"/>
  <c r="A21" i="2" s="1"/>
  <c r="A20" i="2" a="1"/>
  <c r="A20" i="2" s="1"/>
  <c r="A25" i="2" a="1"/>
  <c r="A25" i="2" s="1"/>
  <c r="A30" i="2" a="1"/>
  <c r="A30" i="2" s="1"/>
  <c r="A39" i="2" a="1"/>
  <c r="A39" i="2" s="1"/>
  <c r="A48" i="2" a="1"/>
  <c r="A48" i="2" s="1"/>
  <c r="A57" i="2" a="1"/>
  <c r="A57" i="2" s="1"/>
  <c r="A62" i="2" a="1"/>
  <c r="A62" i="2" s="1"/>
  <c r="A71" i="2" a="1"/>
  <c r="A71" i="2" s="1"/>
  <c r="A80" i="2" a="1"/>
  <c r="A80" i="2" s="1"/>
  <c r="A89" i="2" a="1"/>
  <c r="A89" i="2" s="1"/>
  <c r="A94" i="2" a="1"/>
  <c r="A94" i="2" s="1"/>
  <c r="A4" i="2" a="1"/>
  <c r="A4" i="2" s="1"/>
  <c r="A16" i="2" a="1"/>
  <c r="A16" i="2" s="1"/>
  <c r="A26" i="2" a="1"/>
  <c r="A26" i="2" s="1"/>
  <c r="A35" i="2" a="1"/>
  <c r="A35" i="2" s="1"/>
  <c r="A44" i="2" a="1"/>
  <c r="A44" i="2" s="1"/>
  <c r="A53" i="2" a="1"/>
  <c r="A53" i="2" s="1"/>
  <c r="A58" i="2" a="1"/>
  <c r="A58" i="2" s="1"/>
  <c r="A67" i="2" a="1"/>
  <c r="A67" i="2" s="1"/>
  <c r="A76" i="2" a="1"/>
  <c r="A76" i="2" s="1"/>
  <c r="A85" i="2" a="1"/>
  <c r="A85" i="2" s="1"/>
  <c r="A90" i="2" a="1"/>
  <c r="A90" i="2" s="1"/>
  <c r="A99" i="2" a="1"/>
  <c r="A99" i="2" s="1"/>
  <c r="A9" i="2" a="1"/>
  <c r="A9" i="2" s="1"/>
  <c r="A37" i="2" a="1"/>
  <c r="A37" i="2" s="1"/>
  <c r="A43" i="2" a="1"/>
  <c r="A43" i="2" s="1"/>
  <c r="A50" i="2" a="1"/>
  <c r="A50" i="2" s="1"/>
  <c r="A61" i="2" a="1"/>
  <c r="A61" i="2" s="1"/>
  <c r="A68" i="2" a="1"/>
  <c r="A68" i="2" s="1"/>
  <c r="A74" i="2" a="1"/>
  <c r="A74" i="2" s="1"/>
  <c r="A92" i="2" a="1"/>
  <c r="A92" i="2" s="1"/>
  <c r="A98" i="2" a="1"/>
  <c r="A98" i="2" s="1"/>
  <c r="A19" i="2" a="1"/>
  <c r="A19" i="2" s="1"/>
  <c r="A32" i="2" a="1"/>
  <c r="A32" i="2" s="1"/>
  <c r="A38" i="2" a="1"/>
  <c r="A38" i="2" s="1"/>
  <c r="A56" i="2" a="1"/>
  <c r="A56" i="2" s="1"/>
  <c r="A63" i="2" a="1"/>
  <c r="A63" i="2" s="1"/>
  <c r="A81" i="2" a="1"/>
  <c r="A81" i="2" s="1"/>
  <c r="A87" i="2" a="1"/>
  <c r="A87" i="2" s="1"/>
  <c r="A6" i="2" a="1"/>
  <c r="A6" i="2" s="1"/>
  <c r="A14" i="2" a="1"/>
  <c r="A14" i="2" s="1"/>
  <c r="A27" i="2" a="1"/>
  <c r="A27" i="2" s="1"/>
  <c r="A45" i="2" a="1"/>
  <c r="A45" i="2" s="1"/>
  <c r="A51" i="2" a="1"/>
  <c r="A51" i="2" s="1"/>
  <c r="A69" i="2" a="1"/>
  <c r="A69" i="2" s="1"/>
  <c r="A97" i="2" a="1"/>
  <c r="A97" i="2" s="1"/>
  <c r="A46" i="2" a="1"/>
  <c r="A46" i="2" s="1"/>
  <c r="A24" i="2" a="1"/>
  <c r="A24" i="2" s="1"/>
  <c r="A15" i="2" a="1"/>
  <c r="A15" i="2" s="1"/>
  <c r="A64" i="2" a="1"/>
  <c r="A64" i="2" s="1"/>
  <c r="A96" i="2" a="1"/>
  <c r="A96" i="2" s="1"/>
  <c r="A88" i="2" a="1"/>
  <c r="A88" i="2" s="1"/>
  <c r="A79" i="2" a="1"/>
  <c r="A79" i="2" s="1"/>
  <c r="A72" i="2" a="1"/>
  <c r="A72" i="2" s="1"/>
  <c r="A52" i="2" a="1"/>
  <c r="A52" i="2" s="1"/>
  <c r="A33" i="2" a="1"/>
  <c r="A33" i="2" s="1"/>
  <c r="A23" i="2" a="1"/>
  <c r="A23" i="2" s="1"/>
  <c r="A12" i="2" a="1"/>
  <c r="A12" i="2" s="1"/>
  <c r="A31" i="2" a="1"/>
  <c r="A31" i="2" s="1"/>
  <c r="A3" i="2" a="1"/>
  <c r="A3" i="2" s="1"/>
  <c r="A95" i="2" a="1"/>
  <c r="A95" i="2" s="1"/>
  <c r="A86" i="2" a="1"/>
  <c r="A86" i="2" s="1"/>
  <c r="A78" i="2" a="1"/>
  <c r="A78" i="2" s="1"/>
  <c r="A70" i="2" a="1"/>
  <c r="A70" i="2" s="1"/>
  <c r="A49" i="2" a="1"/>
  <c r="A49" i="2" s="1"/>
  <c r="A22" i="2" a="1"/>
  <c r="A22" i="2" s="1"/>
  <c r="A10" i="2" a="1"/>
  <c r="A10" i="2" s="1"/>
  <c r="A101" i="2" a="1"/>
  <c r="A101" i="2" s="1"/>
  <c r="A93" i="2" a="1"/>
  <c r="A93" i="2" s="1"/>
  <c r="A84" i="2" a="1"/>
  <c r="A84" i="2" s="1"/>
  <c r="A77" i="2" a="1"/>
  <c r="A77" i="2" s="1"/>
  <c r="A59" i="2" a="1"/>
  <c r="A59" i="2" s="1"/>
  <c r="A40" i="2" a="1"/>
  <c r="A40" i="2" s="1"/>
  <c r="A18" i="2" a="1"/>
  <c r="A18" i="2" s="1"/>
  <c r="A73" i="2" a="1"/>
  <c r="A73" i="2" s="1"/>
  <c r="A7" i="2" a="1"/>
  <c r="A7" i="2" s="1"/>
  <c r="A82" i="2" a="1"/>
  <c r="A82" i="2" s="1"/>
  <c r="A54" i="2" a="1"/>
  <c r="A54" i="2" s="1"/>
  <c r="A34" i="2" a="1"/>
  <c r="A34" i="2" s="1"/>
  <c r="A2" i="2" a="1"/>
  <c r="A2" i="2" s="1"/>
  <c r="A5" i="2" a="1"/>
  <c r="A5" i="2" s="1"/>
  <c r="A42" i="2" a="1"/>
  <c r="A42" i="2" s="1"/>
  <c r="A60" i="2" a="1"/>
  <c r="A60" i="2" s="1"/>
  <c r="A41" i="2" a="1"/>
  <c r="A41" i="2" s="1"/>
  <c r="A11" i="2" a="1"/>
  <c r="A11" i="2" s="1"/>
  <c r="A29" i="2" a="1"/>
  <c r="A29" i="2" s="1"/>
  <c r="A66" i="2" a="1"/>
  <c r="A66" i="2" s="1"/>
  <c r="A47" i="2" a="1"/>
  <c r="A47" i="2" s="1"/>
  <c r="A28" i="2" a="1"/>
  <c r="A28" i="2" s="1"/>
  <c r="B61" i="2" l="1" a="1"/>
  <c r="B61" i="2" s="1"/>
  <c r="B135" i="1"/>
  <c r="B154" i="1"/>
  <c r="B155" i="1" s="1"/>
  <c r="B156" i="1" s="1"/>
  <c r="B157" i="1" s="1"/>
  <c r="B158" i="1" s="1"/>
  <c r="B159" i="1" s="1"/>
  <c r="B71" i="2" a="1"/>
  <c r="B71" i="2" s="1"/>
  <c r="B56" i="2" a="1"/>
  <c r="B56" i="2" s="1"/>
  <c r="B121" i="1"/>
  <c r="B122" i="1" s="1"/>
  <c r="B123" i="1" s="1"/>
  <c r="B124" i="1" s="1"/>
  <c r="B125" i="1" s="1"/>
  <c r="B126" i="1" s="1"/>
  <c r="B127" i="1" s="1"/>
  <c r="B37" i="2" a="1"/>
  <c r="B37" i="2" s="1"/>
  <c r="B84" i="1"/>
  <c r="B97" i="1"/>
  <c r="B35" i="2" a="1"/>
  <c r="B35" i="2" s="1"/>
  <c r="B65" i="2" a="1"/>
  <c r="B65" i="2" s="1"/>
  <c r="B52" i="2" a="1"/>
  <c r="B52" i="2" s="1"/>
  <c r="B54" i="2" a="1"/>
  <c r="B54" i="2" s="1"/>
  <c r="B68" i="2" a="1"/>
  <c r="B68" i="2" s="1"/>
  <c r="B66" i="2" a="1"/>
  <c r="B66" i="2" s="1"/>
  <c r="K60" i="2"/>
  <c r="G60" i="2"/>
  <c r="E60" i="2"/>
  <c r="J60" i="2"/>
  <c r="F60" i="2"/>
  <c r="J10" i="2"/>
  <c r="K10" i="2"/>
  <c r="E10" i="2"/>
  <c r="G10" i="2"/>
  <c r="F10" i="2"/>
  <c r="K45" i="2"/>
  <c r="G45" i="2"/>
  <c r="E45" i="2"/>
  <c r="F45" i="2"/>
  <c r="J45" i="2"/>
  <c r="E50" i="2"/>
  <c r="G50" i="2"/>
  <c r="K50" i="2"/>
  <c r="F50" i="2"/>
  <c r="J50" i="2"/>
  <c r="K30" i="2"/>
  <c r="J30" i="2"/>
  <c r="E30" i="2"/>
  <c r="G30" i="2"/>
  <c r="F30" i="2"/>
  <c r="E18" i="2"/>
  <c r="K18" i="2"/>
  <c r="G18" i="2"/>
  <c r="F18" i="2"/>
  <c r="J18" i="2"/>
  <c r="K12" i="2"/>
  <c r="G12" i="2"/>
  <c r="E12" i="2"/>
  <c r="F12" i="2"/>
  <c r="J12" i="2"/>
  <c r="J64" i="2"/>
  <c r="F64" i="2"/>
  <c r="E64" i="2"/>
  <c r="G64" i="2"/>
  <c r="K64" i="2"/>
  <c r="J32" i="2"/>
  <c r="F32" i="2"/>
  <c r="K32" i="2"/>
  <c r="E32" i="2"/>
  <c r="G32" i="2"/>
  <c r="G58" i="2"/>
  <c r="K58" i="2"/>
  <c r="F58" i="2"/>
  <c r="J58" i="2"/>
  <c r="E58" i="2"/>
  <c r="J25" i="2"/>
  <c r="F25" i="2"/>
  <c r="K25" i="2"/>
  <c r="G25" i="2"/>
  <c r="E25" i="2"/>
  <c r="D83" i="2"/>
  <c r="E83" i="2"/>
  <c r="G83" i="2"/>
  <c r="K83" i="2"/>
  <c r="J83" i="2"/>
  <c r="F83" i="2"/>
  <c r="J40" i="2"/>
  <c r="F40" i="2"/>
  <c r="E40" i="2"/>
  <c r="G40" i="2"/>
  <c r="K40" i="2"/>
  <c r="J49" i="2"/>
  <c r="F49" i="2"/>
  <c r="G49" i="2"/>
  <c r="K49" i="2"/>
  <c r="E49" i="2"/>
  <c r="F15" i="2"/>
  <c r="G15" i="2"/>
  <c r="K15" i="2"/>
  <c r="J15" i="2"/>
  <c r="E15" i="2"/>
  <c r="J19" i="2"/>
  <c r="E19" i="2"/>
  <c r="G19" i="2"/>
  <c r="K19" i="2"/>
  <c r="F19" i="2"/>
  <c r="K53" i="2"/>
  <c r="G53" i="2"/>
  <c r="E53" i="2"/>
  <c r="J53" i="2"/>
  <c r="F53" i="2"/>
  <c r="J80" i="2"/>
  <c r="F80" i="2"/>
  <c r="G80" i="2"/>
  <c r="K80" i="2"/>
  <c r="E80" i="2"/>
  <c r="G91" i="2"/>
  <c r="F91" i="2"/>
  <c r="E91" i="2"/>
  <c r="K91" i="2"/>
  <c r="J91" i="2"/>
  <c r="K2" i="2"/>
  <c r="G2" i="2"/>
  <c r="J2" i="2"/>
  <c r="E2" i="2"/>
  <c r="F2" i="2"/>
  <c r="K70" i="2"/>
  <c r="G70" i="2"/>
  <c r="J70" i="2"/>
  <c r="F70" i="2"/>
  <c r="E70" i="2"/>
  <c r="J33" i="2"/>
  <c r="F33" i="2"/>
  <c r="E33" i="2"/>
  <c r="K33" i="2"/>
  <c r="G33" i="2"/>
  <c r="K6" i="2"/>
  <c r="J6" i="2"/>
  <c r="G6" i="2"/>
  <c r="F6" i="2"/>
  <c r="E6" i="2"/>
  <c r="K44" i="2"/>
  <c r="G44" i="2"/>
  <c r="E44" i="2"/>
  <c r="F44" i="2"/>
  <c r="J44" i="2"/>
  <c r="K71" i="2"/>
  <c r="G71" i="2"/>
  <c r="E71" i="2"/>
  <c r="J71" i="2"/>
  <c r="F71" i="2"/>
  <c r="K100" i="2"/>
  <c r="G100" i="2"/>
  <c r="E100" i="2"/>
  <c r="F100" i="2"/>
  <c r="J100" i="2"/>
  <c r="F66" i="2"/>
  <c r="J66" i="2"/>
  <c r="G66" i="2"/>
  <c r="E66" i="2"/>
  <c r="K66" i="2"/>
  <c r="K77" i="2"/>
  <c r="G77" i="2"/>
  <c r="E77" i="2"/>
  <c r="F77" i="2"/>
  <c r="J77" i="2"/>
  <c r="K52" i="2"/>
  <c r="G52" i="2"/>
  <c r="E52" i="2"/>
  <c r="J52" i="2"/>
  <c r="F52" i="2"/>
  <c r="F87" i="2"/>
  <c r="K87" i="2"/>
  <c r="J87" i="2"/>
  <c r="E87" i="2"/>
  <c r="G87" i="2"/>
  <c r="K92" i="2"/>
  <c r="G92" i="2"/>
  <c r="E92" i="2"/>
  <c r="F92" i="2"/>
  <c r="J92" i="2"/>
  <c r="F99" i="2"/>
  <c r="J99" i="2"/>
  <c r="K99" i="2"/>
  <c r="G99" i="2"/>
  <c r="E99" i="2"/>
  <c r="F35" i="2"/>
  <c r="J35" i="2"/>
  <c r="K35" i="2"/>
  <c r="G35" i="2"/>
  <c r="E35" i="2"/>
  <c r="K62" i="2"/>
  <c r="J62" i="2"/>
  <c r="E62" i="2"/>
  <c r="G62" i="2"/>
  <c r="F62" i="2"/>
  <c r="J17" i="2"/>
  <c r="F17" i="2"/>
  <c r="K17" i="2"/>
  <c r="G17" i="2"/>
  <c r="E17" i="2"/>
  <c r="J8" i="2"/>
  <c r="F8" i="2"/>
  <c r="E8" i="2"/>
  <c r="K8" i="2"/>
  <c r="G8" i="2"/>
  <c r="K29" i="2"/>
  <c r="G29" i="2"/>
  <c r="E29" i="2"/>
  <c r="J29" i="2"/>
  <c r="F29" i="2"/>
  <c r="K84" i="2"/>
  <c r="G84" i="2"/>
  <c r="E84" i="2"/>
  <c r="J84" i="2"/>
  <c r="F84" i="2"/>
  <c r="J72" i="2"/>
  <c r="F72" i="2"/>
  <c r="E72" i="2"/>
  <c r="K72" i="2"/>
  <c r="G72" i="2"/>
  <c r="J81" i="2"/>
  <c r="F81" i="2"/>
  <c r="K81" i="2"/>
  <c r="G81" i="2"/>
  <c r="E81" i="2"/>
  <c r="J26" i="2"/>
  <c r="G26" i="2"/>
  <c r="F26" i="2"/>
  <c r="E26" i="2"/>
  <c r="K26" i="2"/>
  <c r="K13" i="2"/>
  <c r="G13" i="2"/>
  <c r="E13" i="2"/>
  <c r="F13" i="2"/>
  <c r="J13" i="2"/>
  <c r="J11" i="2"/>
  <c r="E11" i="2"/>
  <c r="K11" i="2"/>
  <c r="G11" i="2"/>
  <c r="F11" i="2"/>
  <c r="E82" i="2"/>
  <c r="K82" i="2"/>
  <c r="G82" i="2"/>
  <c r="J82" i="2"/>
  <c r="F82" i="2"/>
  <c r="K93" i="2"/>
  <c r="G93" i="2"/>
  <c r="E93" i="2"/>
  <c r="J93" i="2"/>
  <c r="F93" i="2"/>
  <c r="K95" i="2"/>
  <c r="J95" i="2"/>
  <c r="E95" i="2"/>
  <c r="G95" i="2"/>
  <c r="F95" i="2"/>
  <c r="F79" i="2"/>
  <c r="K79" i="2"/>
  <c r="G79" i="2"/>
  <c r="E79" i="2"/>
  <c r="J79" i="2"/>
  <c r="K69" i="2"/>
  <c r="G69" i="2"/>
  <c r="E69" i="2"/>
  <c r="F69" i="2"/>
  <c r="J69" i="2"/>
  <c r="J63" i="2"/>
  <c r="E63" i="2"/>
  <c r="G63" i="2"/>
  <c r="K63" i="2"/>
  <c r="F63" i="2"/>
  <c r="K68" i="2"/>
  <c r="G68" i="2"/>
  <c r="E68" i="2"/>
  <c r="F68" i="2"/>
  <c r="J68" i="2"/>
  <c r="K85" i="2"/>
  <c r="G85" i="2"/>
  <c r="E85" i="2"/>
  <c r="J85" i="2"/>
  <c r="F85" i="2"/>
  <c r="J16" i="2"/>
  <c r="F16" i="2"/>
  <c r="G16" i="2"/>
  <c r="K16" i="2"/>
  <c r="E16" i="2"/>
  <c r="J48" i="2"/>
  <c r="F48" i="2"/>
  <c r="G48" i="2"/>
  <c r="K48" i="2"/>
  <c r="E48" i="2"/>
  <c r="F55" i="2"/>
  <c r="E55" i="2"/>
  <c r="J55" i="2"/>
  <c r="K55" i="2"/>
  <c r="G55" i="2"/>
  <c r="J73" i="2"/>
  <c r="F73" i="2"/>
  <c r="E73" i="2"/>
  <c r="G73" i="2"/>
  <c r="K73" i="2"/>
  <c r="K31" i="2"/>
  <c r="J31" i="2"/>
  <c r="E31" i="2"/>
  <c r="G31" i="2"/>
  <c r="F31" i="2"/>
  <c r="J96" i="2"/>
  <c r="F96" i="2"/>
  <c r="K96" i="2"/>
  <c r="E96" i="2"/>
  <c r="G96" i="2"/>
  <c r="K38" i="2"/>
  <c r="G38" i="2"/>
  <c r="J38" i="2"/>
  <c r="E38" i="2"/>
  <c r="F38" i="2"/>
  <c r="K67" i="2"/>
  <c r="F67" i="2"/>
  <c r="J67" i="2"/>
  <c r="G67" i="2"/>
  <c r="E67" i="2"/>
  <c r="K94" i="2"/>
  <c r="J94" i="2"/>
  <c r="E94" i="2"/>
  <c r="G94" i="2"/>
  <c r="F94" i="2"/>
  <c r="J75" i="2"/>
  <c r="E75" i="2"/>
  <c r="G75" i="2"/>
  <c r="K75" i="2"/>
  <c r="F75" i="2"/>
  <c r="K42" i="2"/>
  <c r="J42" i="2"/>
  <c r="E42" i="2"/>
  <c r="G42" i="2"/>
  <c r="F42" i="2"/>
  <c r="K22" i="2"/>
  <c r="F22" i="2"/>
  <c r="E22" i="2"/>
  <c r="J22" i="2"/>
  <c r="G22" i="2"/>
  <c r="G27" i="2"/>
  <c r="F27" i="2"/>
  <c r="E27" i="2"/>
  <c r="K27" i="2"/>
  <c r="J27" i="2"/>
  <c r="K43" i="2"/>
  <c r="J43" i="2"/>
  <c r="E43" i="2"/>
  <c r="F43" i="2"/>
  <c r="G43" i="2"/>
  <c r="J89" i="2"/>
  <c r="F89" i="2"/>
  <c r="E89" i="2"/>
  <c r="K89" i="2"/>
  <c r="G89" i="2"/>
  <c r="K28" i="2"/>
  <c r="G28" i="2"/>
  <c r="E28" i="2"/>
  <c r="F28" i="2"/>
  <c r="J28" i="2"/>
  <c r="K5" i="2"/>
  <c r="G5" i="2"/>
  <c r="E5" i="2"/>
  <c r="F5" i="2"/>
  <c r="J5" i="2"/>
  <c r="F23" i="2"/>
  <c r="K23" i="2"/>
  <c r="E23" i="2"/>
  <c r="J23" i="2"/>
  <c r="G23" i="2"/>
  <c r="K14" i="2"/>
  <c r="F14" i="2"/>
  <c r="J14" i="2"/>
  <c r="G14" i="2"/>
  <c r="E14" i="2"/>
  <c r="K37" i="2"/>
  <c r="G37" i="2"/>
  <c r="E37" i="2"/>
  <c r="F37" i="2"/>
  <c r="J37" i="2"/>
  <c r="K20" i="2"/>
  <c r="G20" i="2"/>
  <c r="E20" i="2"/>
  <c r="J20" i="2"/>
  <c r="F20" i="2"/>
  <c r="K47" i="2"/>
  <c r="F47" i="2"/>
  <c r="J47" i="2"/>
  <c r="G47" i="2"/>
  <c r="E47" i="2"/>
  <c r="G59" i="2"/>
  <c r="K59" i="2"/>
  <c r="F59" i="2"/>
  <c r="J59" i="2"/>
  <c r="E59" i="2"/>
  <c r="J24" i="2"/>
  <c r="F24" i="2"/>
  <c r="K24" i="2"/>
  <c r="E24" i="2"/>
  <c r="G24" i="2"/>
  <c r="F98" i="2"/>
  <c r="K98" i="2"/>
  <c r="J98" i="2"/>
  <c r="E98" i="2"/>
  <c r="G98" i="2"/>
  <c r="J9" i="2"/>
  <c r="F9" i="2"/>
  <c r="E9" i="2"/>
  <c r="G9" i="2"/>
  <c r="K9" i="2"/>
  <c r="K21" i="2"/>
  <c r="G21" i="2"/>
  <c r="E21" i="2"/>
  <c r="J21" i="2"/>
  <c r="F21" i="2"/>
  <c r="F34" i="2"/>
  <c r="K34" i="2"/>
  <c r="J34" i="2"/>
  <c r="E34" i="2"/>
  <c r="G34" i="2"/>
  <c r="K78" i="2"/>
  <c r="F78" i="2"/>
  <c r="J78" i="2"/>
  <c r="G78" i="2"/>
  <c r="E78" i="2"/>
  <c r="K46" i="2"/>
  <c r="F46" i="2"/>
  <c r="J46" i="2"/>
  <c r="E46" i="2"/>
  <c r="G46" i="2"/>
  <c r="K54" i="2"/>
  <c r="F54" i="2"/>
  <c r="J54" i="2"/>
  <c r="E54" i="2"/>
  <c r="G54" i="2"/>
  <c r="K86" i="2"/>
  <c r="F86" i="2"/>
  <c r="J86" i="2"/>
  <c r="E86" i="2"/>
  <c r="G86" i="2"/>
  <c r="J97" i="2"/>
  <c r="F97" i="2"/>
  <c r="K97" i="2"/>
  <c r="E97" i="2"/>
  <c r="G97" i="2"/>
  <c r="J74" i="2"/>
  <c r="E74" i="2"/>
  <c r="K74" i="2"/>
  <c r="F74" i="2"/>
  <c r="G74" i="2"/>
  <c r="G90" i="2"/>
  <c r="F90" i="2"/>
  <c r="J90" i="2"/>
  <c r="E90" i="2"/>
  <c r="K90" i="2"/>
  <c r="J57" i="2"/>
  <c r="F57" i="2"/>
  <c r="K57" i="2"/>
  <c r="G57" i="2"/>
  <c r="E57" i="2"/>
  <c r="K36" i="2"/>
  <c r="G36" i="2"/>
  <c r="E36" i="2"/>
  <c r="J36" i="2"/>
  <c r="F36" i="2"/>
  <c r="J41" i="2"/>
  <c r="F41" i="2"/>
  <c r="E41" i="2"/>
  <c r="G41" i="2"/>
  <c r="K41" i="2"/>
  <c r="K7" i="2"/>
  <c r="J7" i="2"/>
  <c r="G7" i="2"/>
  <c r="E7" i="2"/>
  <c r="F7" i="2"/>
  <c r="K101" i="2"/>
  <c r="G101" i="2"/>
  <c r="E101" i="2"/>
  <c r="F101" i="2"/>
  <c r="J101" i="2"/>
  <c r="K3" i="2"/>
  <c r="F3" i="2"/>
  <c r="E3" i="2"/>
  <c r="G3" i="2"/>
  <c r="J3" i="2"/>
  <c r="J88" i="2"/>
  <c r="F88" i="2"/>
  <c r="K88" i="2"/>
  <c r="G88" i="2"/>
  <c r="E88" i="2"/>
  <c r="E51" i="2"/>
  <c r="G51" i="2"/>
  <c r="K51" i="2"/>
  <c r="F51" i="2"/>
  <c r="J51" i="2"/>
  <c r="J56" i="2"/>
  <c r="F56" i="2"/>
  <c r="K56" i="2"/>
  <c r="E56" i="2"/>
  <c r="G56" i="2"/>
  <c r="K61" i="2"/>
  <c r="G61" i="2"/>
  <c r="E61" i="2"/>
  <c r="J61" i="2"/>
  <c r="F61" i="2"/>
  <c r="K76" i="2"/>
  <c r="G76" i="2"/>
  <c r="E76" i="2"/>
  <c r="F76" i="2"/>
  <c r="J76" i="2"/>
  <c r="K4" i="2"/>
  <c r="G4" i="2"/>
  <c r="E4" i="2"/>
  <c r="F4" i="2"/>
  <c r="J4" i="2"/>
  <c r="G39" i="2"/>
  <c r="J39" i="2"/>
  <c r="K39" i="2"/>
  <c r="F39" i="2"/>
  <c r="E39" i="2"/>
  <c r="J65" i="2"/>
  <c r="F65" i="2"/>
  <c r="E65" i="2"/>
  <c r="K65" i="2"/>
  <c r="G65" i="2"/>
  <c r="D8" i="2"/>
  <c r="D91" i="2"/>
  <c r="D75" i="2"/>
  <c r="D36" i="2"/>
  <c r="D100" i="2"/>
  <c r="D66" i="2"/>
  <c r="D29" i="2"/>
  <c r="D42" i="2"/>
  <c r="D14" i="2"/>
  <c r="D98" i="2"/>
  <c r="D16" i="2"/>
  <c r="D25" i="2"/>
  <c r="D11" i="2"/>
  <c r="D82" i="2"/>
  <c r="D101" i="2"/>
  <c r="D19" i="2"/>
  <c r="D92" i="2"/>
  <c r="D80" i="2"/>
  <c r="D41" i="2"/>
  <c r="D49" i="2"/>
  <c r="D46" i="2"/>
  <c r="D74" i="2"/>
  <c r="D21" i="2"/>
  <c r="D97" i="2"/>
  <c r="D87" i="2"/>
  <c r="D58" i="2"/>
  <c r="D40" i="2"/>
  <c r="D78" i="2"/>
  <c r="D61" i="2"/>
  <c r="D57" i="2"/>
  <c r="D59" i="2"/>
  <c r="D86" i="2"/>
  <c r="D88" i="2"/>
  <c r="D51" i="2"/>
  <c r="D63" i="2"/>
  <c r="D50" i="2"/>
  <c r="D9" i="2"/>
  <c r="D44" i="2"/>
  <c r="D48" i="2"/>
  <c r="D54" i="2"/>
  <c r="D93" i="2"/>
  <c r="D23" i="2"/>
  <c r="D64" i="2"/>
  <c r="D15" i="2"/>
  <c r="D32" i="2"/>
  <c r="D85" i="2"/>
  <c r="D89" i="2"/>
  <c r="D5" i="2"/>
  <c r="D22" i="2"/>
  <c r="D24" i="2"/>
  <c r="D76" i="2"/>
  <c r="D52" i="2"/>
  <c r="D6" i="2"/>
  <c r="D67" i="2"/>
  <c r="D18" i="2"/>
  <c r="D72" i="2"/>
  <c r="D17" i="2"/>
  <c r="D69" i="2"/>
  <c r="D81" i="2"/>
  <c r="D53" i="2"/>
  <c r="D28" i="2"/>
  <c r="D77" i="2"/>
  <c r="D95" i="2"/>
  <c r="D31" i="2"/>
  <c r="D96" i="2"/>
  <c r="D45" i="2"/>
  <c r="D56" i="2"/>
  <c r="D43" i="2"/>
  <c r="D99" i="2"/>
  <c r="D35" i="2"/>
  <c r="D4" i="2"/>
  <c r="D39" i="2"/>
  <c r="D33" i="2"/>
  <c r="D20" i="2"/>
  <c r="D7" i="2"/>
  <c r="D10" i="2"/>
  <c r="D71" i="2"/>
  <c r="D60" i="2"/>
  <c r="D70" i="2"/>
  <c r="D68" i="2"/>
  <c r="D62" i="2"/>
  <c r="D79" i="2"/>
  <c r="D13" i="2"/>
  <c r="D2" i="2"/>
  <c r="D47" i="2"/>
  <c r="D34" i="2"/>
  <c r="D73" i="2"/>
  <c r="D84" i="2"/>
  <c r="D3" i="2"/>
  <c r="D12" i="2"/>
  <c r="D27" i="2"/>
  <c r="D38" i="2"/>
  <c r="D37" i="2"/>
  <c r="D90" i="2"/>
  <c r="D26" i="2"/>
  <c r="D94" i="2"/>
  <c r="D30" i="2"/>
  <c r="B136" i="1" l="1"/>
  <c r="B62" i="2" a="1"/>
  <c r="B62" i="2" s="1"/>
  <c r="B85" i="1"/>
  <c r="B38" i="2" a="1"/>
  <c r="B38" i="2" s="1"/>
  <c r="B98" i="1"/>
  <c r="B42" i="2" a="1"/>
  <c r="B42" i="2" s="1"/>
  <c r="B99" i="1" l="1"/>
  <c r="B43" i="2" a="1"/>
  <c r="B43" i="2" s="1"/>
  <c r="B39" i="2" a="1"/>
  <c r="B39" i="2" s="1"/>
  <c r="B86" i="1"/>
  <c r="B87" i="1" s="1"/>
  <c r="B88" i="1" s="1"/>
  <c r="B89" i="1" s="1"/>
  <c r="B90" i="1" s="1"/>
  <c r="B91" i="1" s="1"/>
  <c r="B92" i="1" s="1"/>
  <c r="B137" i="1"/>
  <c r="B63" i="2" a="1"/>
  <c r="B63" i="2" s="1"/>
  <c r="B138" i="1" l="1"/>
  <c r="B139" i="1" s="1"/>
  <c r="B140" i="1" s="1"/>
  <c r="B141" i="1" s="1"/>
  <c r="B142" i="1" s="1"/>
  <c r="B143" i="1" s="1"/>
  <c r="B144" i="1" s="1"/>
  <c r="B64" i="2" a="1"/>
  <c r="B64" i="2" s="1"/>
  <c r="B100" i="1"/>
  <c r="B44" i="2" a="1"/>
  <c r="B44" i="2" s="1"/>
  <c r="B101" i="1" l="1"/>
  <c r="B45" i="2" a="1"/>
  <c r="B45" i="2" s="1"/>
  <c r="B46" i="2" l="1" a="1"/>
  <c r="B46" i="2" s="1"/>
  <c r="B102" i="1"/>
  <c r="B103" i="1" l="1"/>
  <c r="B47" i="2" a="1"/>
  <c r="B47" i="2" s="1"/>
  <c r="B48" i="2" l="1" a="1"/>
  <c r="B48" i="2" s="1"/>
  <c r="B104" i="1"/>
  <c r="B105" i="1" s="1"/>
  <c r="B106" i="1" s="1"/>
  <c r="B107" i="1" s="1"/>
  <c r="B108" i="1" s="1"/>
  <c r="B109" i="1" s="1"/>
  <c r="B1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<sst xmlns="http://schemas.openxmlformats.org/spreadsheetml/2006/main" count="398" uniqueCount="341">
  <si>
    <t>================================================================================</t>
  </si>
  <si>
    <t>番号</t>
    <rPh sb="0" eb="2">
      <t>バンゴウ</t>
    </rPh>
    <phoneticPr fontId="1"/>
  </si>
  <si>
    <t>作業列１</t>
    <rPh sb="0" eb="2">
      <t>サギョウ</t>
    </rPh>
    <rPh sb="2" eb="3">
      <t>レツ</t>
    </rPh>
    <phoneticPr fontId="1"/>
  </si>
  <si>
    <t>作業列２</t>
    <rPh sb="0" eb="3">
      <t>サギョウレツ</t>
    </rPh>
    <phoneticPr fontId="1"/>
  </si>
  <si>
    <t>従業員CD</t>
  </si>
  <si>
    <t>氏名</t>
    <rPh sb="0" eb="2">
      <t>シメイ</t>
    </rPh>
    <phoneticPr fontId="1"/>
  </si>
  <si>
    <t>■ このテンプレートの仕組み</t>
  </si>
  <si>
    <t>処理の流れ</t>
  </si>
  <si>
    <t>■ 使用している関数の説明</t>
  </si>
  <si>
    <t>【MIDB関数】</t>
  </si>
  <si>
    <t>書式：MIDB(文字列, 開始位置, バイト数)</t>
  </si>
  <si>
    <t>文字列のバイト位置を指定して切り出す関数です。</t>
  </si>
  <si>
    <t>固定長テキストでは全角＝2バイト、半角＝1バイトで各項目の位置が決まっているため、</t>
  </si>
  <si>
    <t>MID（文字数単位）ではなくMIDB（バイト単位）を使います。</t>
  </si>
  <si>
    <t>例：=MIDB(A2, 8, 9) → A2セルの8バイト目から9バイト分を切り出す</t>
  </si>
  <si>
    <t>【TRIM関数】</t>
  </si>
  <si>
    <t>書式：TRIM(文字列)</t>
  </si>
  <si>
    <t>文字列の先頭と末尾のスペースを除去し、単語間のスペースを1つにまとめる関数です。</t>
  </si>
  <si>
    <t>固定長テキストでは各項目が決まったバイト数で区切られており、</t>
  </si>
  <si>
    <t>短い文字列は残りがスペース（空白）で埋められています。</t>
  </si>
  <si>
    <t>例：「佐藤　一郎　　　　　　」→ TRIM適用後 →「佐藤　一郎」</t>
  </si>
  <si>
    <t>MIDBで切り出しただけでは後ろにスペースが大量に残るため、</t>
  </si>
  <si>
    <t>必ずTRIM(MIDB(...))の形で組み合わせて使用します。</t>
  </si>
  <si>
    <t>※ TRIM関数は半角スペースのみ除去します。全角スペースは除去されません。</t>
  </si>
  <si>
    <t>【VALUE関数】</t>
  </si>
  <si>
    <t>書式：VALUE(文字列)</t>
  </si>
  <si>
    <t>文字列を数値に変換する関数です。</t>
  </si>
  <si>
    <t>■ カスタマイズ手順</t>
  </si>
  <si>
    <t>────────────────────────────────────────</t>
  </si>
  <si>
    <t>STEP 0：自分の固定長テキストの構造を確認する</t>
  </si>
  <si>
    <t>まず以下を確認してください。</t>
  </si>
  <si>
    <t>STEP 1：バイト位置を確認する</t>
  </si>
  <si>
    <t>現在のサンプルデータのバイト位置定義は以下の通りです。</t>
  </si>
  <si>
    <t>自分のデータと異なる場合はSTEP 3で書き換えます。</t>
  </si>
  <si>
    <t>STEP 2：貼付シートの判定式を自分のデータに合わせる</t>
  </si>
  <si>
    <t>以下の文字列で不要行を除外しています。</t>
  </si>
  <si>
    <t>STEP 3：抽出シートのMIDB関数を書き換える</t>
  </si>
  <si>
    <t>各列のMIDB関数の第2引数（開始バイト）と第3引数（バイト数）を</t>
  </si>
  <si>
    <t>STEP 1で確認した値に書き換えます。</t>
  </si>
  <si>
    <t>書き換えるのはMIDBの第2引数（開始バイト）と第3引数（バイト数）の数字です。</t>
  </si>
  <si>
    <t>1行目を書き換えたら最終データ行までコピーしてください。</t>
  </si>
  <si>
    <t>STEP 4：項目を増やす・減らす</t>
  </si>
  <si>
    <t>項目を減らす場合：</t>
  </si>
  <si>
    <t>STEP 5：動作確認</t>
  </si>
  <si>
    <t>よくあるエラー：</t>
  </si>
  <si>
    <t>同じ行数分コピーする必要があります。</t>
  </si>
  <si>
    <t>■ MIDB関数がExcelに表示されない場合</t>
  </si>
  <si>
    <t>Microsoft 365の最新版ではMIDB関数が数式タブや予測入力の候補に</t>
  </si>
  <si>
    <t>表示されないことがあります。</t>
  </si>
  <si>
    <t>これはMicrosoftがLEN・MID等をUnicode対応に改良した際に</t>
  </si>
  <si>
    <t>バイト系関数（MIDB・LENB・LEFTB等）がUI上から非表示になったためです。</t>
  </si>
  <si>
    <t>関数自体は削除されていません。</t>
  </si>
  <si>
    <t>対処法：セルに直接 =MIDB( と手入力すれば正常に動作します。</t>
  </si>
  <si>
    <t>このテンプレートには数式が埋め込み済みのため通常の使用では問題ありません。</t>
  </si>
  <si>
    <t>STEP 3で数式を書き換える際のみ手入力が必要です。</t>
  </si>
  <si>
    <t>■ 対応Excelバージョン</t>
  </si>
  <si>
    <t>Excel 2016 / 2019 / 2021 / 2024 デスクトップ版 → 問題なし</t>
  </si>
  <si>
    <t>Microsoft 365 デスクトップ版 → 問題なし（上記MIDB注意事項あり）</t>
  </si>
  <si>
    <t>Excel Online（Web版） → MIDB関数が使用できないため非対応</t>
  </si>
  <si>
    <t>※ VBA・マクロは一切使用していません。</t>
  </si>
  <si>
    <t>■ FILTER関数による別の方法について</t>
  </si>
  <si>
    <t>Excel 2021以降またはMicrosoft 365をお使いの場合、</t>
  </si>
  <si>
    <t>ただし本テンプレートでは以下の理由からFILTER関数を使用していません。</t>
  </si>
  <si>
    <t>・Excel 2016／2019ではFILTER関数が使用できない</t>
  </si>
  <si>
    <t>　理解していただくことを優先した設計にしている</t>
  </si>
  <si>
    <t>FILTER関数に慣れている方は、このテンプレートの仕組みを理解した上で</t>
  </si>
  <si>
    <t>ご自身の環境に合わせて置き換えていただいても構いません。</t>
  </si>
  <si>
    <t>取引明細一覧表　　　　　　　　　　　　　出力日：2024/06/30　　PAGE:  1</t>
  </si>
  <si>
    <t>従業員CD  氏名　　　　　　　　 取引日　　 取引先名　　　　　　　　　　　　 金額　　　　 摘要</t>
  </si>
  <si>
    <t>────────────────────────────────────────────────────────────────────────────────────</t>
  </si>
  <si>
    <t>【001000 総務部　　　　　　　】</t>
  </si>
  <si>
    <t>EMP-00101 佐藤　一郎　　　　　 2024/06/01 株式会社北都商事　　　　　　　　     125000 事務用品購入</t>
  </si>
  <si>
    <t>EMP-00101 佐藤　一郎　　　　　 2024/06/05 有限会社南海物産　　　　　　　　      48000 消耗品補充</t>
  </si>
  <si>
    <t>EMP-00102 鈴木　花子　　　　　 2024/06/03 合同会社東西サービス　　　　　　      72000 清掃業務委託</t>
  </si>
  <si>
    <t>EMP-00102 鈴木　花子　　　　　 2024/06/10 株式会社北都商事　　　　　　　　      33500 コピー用紙発注</t>
  </si>
  <si>
    <t>EMP-00102 鈴木　花子　　　　　 2024/06/18 個人事業主田中建設　　　　　　　     185000 修繕工事代金</t>
  </si>
  <si>
    <t>EMP-00103 高橋　健太　　　　　 2024/06/07 株式会社中央システム　　　　　　      96000 PC保守契約</t>
  </si>
  <si>
    <t>EMP-00103 高橋　健太　　　　　 2024/06/12 合同会社東西サービス　　　　　　      15000 名刺印刷</t>
  </si>
  <si>
    <t>EMP-00103 高橋　健太　　　　　 2024/06/20 有限会社南海物産　　　　　　　　      62000 備品購入</t>
  </si>
  <si>
    <t>小計：     636500</t>
  </si>
  <si>
    <t>取引明細一覧表　　　　　　　　　　　　　出力日：2024/06/30　　PAGE:  2</t>
  </si>
  <si>
    <t>【001000 総務部　　　　　　　】（つづき）</t>
  </si>
  <si>
    <t>EMP-00104 渡辺　美咲　　　　　 2024/06/08 株式会社北都商事　　　　　　　　      27500 封筒印刷</t>
  </si>
  <si>
    <t>EMP-00104 渡辺　美咲　　　　　 2024/06/15 株式会社中央システム　　　　　　     110000 サーバー保守</t>
  </si>
  <si>
    <t>EMP-00104 渡辺　美咲　　　　　 2024/06/22 有限会社南海物産　　　　　　　　      44000 衛生用品購入</t>
  </si>
  <si>
    <t>EMP-00105 伊藤　大輔　　　　　 2024/06/11 個人事業主田中建設　　　　　　　     230000 空調設備点検</t>
  </si>
  <si>
    <t>EMP-00105 伊藤　大輔　　　　　 2024/06/25 合同会社東西サービス　　　　　　      58000 警備業務委託</t>
  </si>
  <si>
    <t>EMP-00105 伊藤　大輔　　　　　 2024/06/28 株式会社北都商事　　　　　　　　      19500 文具発注</t>
  </si>
  <si>
    <t>小計：     489000</t>
  </si>
  <si>
    <t>取引明細一覧表　　　　　　　　　　　　　出力日：2024/06/30　　PAGE:  3</t>
  </si>
  <si>
    <t>【002000 営業第一課　　　　　】</t>
  </si>
  <si>
    <t>EMP-00201 中村　翔太　　　　　 2024/06/02 株式会社西日本工業　　　　　　　     340000 製品納品代金</t>
  </si>
  <si>
    <t>EMP-00201 中村　翔太　　　　　 2024/06/09 有限会社丸山製作所　　　　　　　     187000 部品調達費</t>
  </si>
  <si>
    <t>EMP-00201 中村　翔太　　　　　 2024/06/16 株式会社大和運輸　　　　　　　　      55000 配送料</t>
  </si>
  <si>
    <t>EMP-00202 小林　真由美　　　　 2024/06/04 合同会社グローバル通商　　　　　     420000 輸入代行手数料</t>
  </si>
  <si>
    <t>EMP-00202 小林　真由美　　　　 2024/06/13 株式会社西日本工業　　　　　　　     215000 金型製作費</t>
  </si>
  <si>
    <t>EMP-00202 小林　真由美　　　　 2024/06/19 有限会社丸山製作所　　　　　　　      78000 試作品費用</t>
  </si>
  <si>
    <t>EMP-00202 小林　真由美　　　　 2024/06/26 株式会社大和運輸　　　　　　　　      42000 梱包資材</t>
  </si>
  <si>
    <t>EMP-00203 松本　裕也　　　　　 2024/06/06 株式会社西日本工業　　　　　　　     290000 設備部品納品</t>
  </si>
  <si>
    <t>EMP-00203 松本　裕也　　　　　 2024/06/14 合同会社グローバル通商　　　　　     156000 通関手数料</t>
  </si>
  <si>
    <t>EMP-00203 松本　裕也　　　　　 2024/06/21 有限会社丸山製作所　　　　　　　      88000 検査費用</t>
  </si>
  <si>
    <t>小計：    1871000</t>
  </si>
  <si>
    <t>取引明細一覧表　　　　　　　　　　　　　出力日：2024/06/30　　PAGE:  4</t>
  </si>
  <si>
    <t>【002000 営業第一課　　　　　】（つづき）</t>
  </si>
  <si>
    <t>EMP-00204 吉田　あかり　　　　 2024/06/10 株式会社大和運輸　　　　　　　　      67000 特急配送料</t>
  </si>
  <si>
    <t>EMP-00204 吉田　あかり　　　　 2024/06/23 株式会社西日本工業　　　　　　　     198000 追加発注分</t>
  </si>
  <si>
    <t>EMP-00204 吉田　あかり　　　　 2024/06/29 合同会社グローバル通商　　　　　     310000 海外送金手数料</t>
  </si>
  <si>
    <t>小計：     575000</t>
  </si>
  <si>
    <t>【003000 営業第二課　　　　　】</t>
  </si>
  <si>
    <t>EMP-00301 山本　拓海　　　　　 2024/06/01 株式会社千代田電機　　　　　　　     178000 電気部品納品</t>
  </si>
  <si>
    <t>EMP-00301 山本　拓海　　　　　 2024/06/08 有限会社光陽産業　　　　　　　　      93000 樹脂成形品</t>
  </si>
  <si>
    <t>EMP-00301 山本　拓海　　　　　 2024/06/17 株式会社千代田電機　　　　　　　     245000 制御盤製作</t>
  </si>
  <si>
    <t>EMP-00301 山本　拓海　　　　　 2024/06/24 合同会社みらい技研　　　　　　　      56000 技術資料作成</t>
  </si>
  <si>
    <t>EMP-00302 井上　さくら　　　　 2024/06/03 有限会社光陽産業　　　　　　　　     132000 金属加工品</t>
  </si>
  <si>
    <t>小計：     704000</t>
  </si>
  <si>
    <t>取引明細一覧表　　　　　　　　　　　　　出力日：2024/06/30　　PAGE:  5</t>
  </si>
  <si>
    <t>【003000 営業第二課　　　　　】（つづき）</t>
  </si>
  <si>
    <t>EMP-00302 井上　さくら　　　　 2024/06/11 株式会社千代田電機　　　　　　　      67000 配線部材</t>
  </si>
  <si>
    <t>EMP-00302 井上　さくら　　　　 2024/06/20 合同会社みらい技研　　　　　　　     205000 設計委託費</t>
  </si>
  <si>
    <t>EMP-00303 木村　蓮　　　　　　 2024/06/05 株式会社千代田電機　　　　　　　     310000 変圧器納品</t>
  </si>
  <si>
    <t>EMP-00303 木村　蓮　　　　　　 2024/06/15 有限会社光陽産業　　　　　　　　      88000 試作品費用</t>
  </si>
  <si>
    <t>EMP-00303 木村　蓮　　　　　　 2024/06/22 合同会社みらい技研　　　　　　　     147000 評価試験費</t>
  </si>
  <si>
    <t>EMP-00303 木村　蓮　　　　　　 2024/06/28 株式会社千代田電機　　　　　　　      42000 端子台発注</t>
  </si>
  <si>
    <t>小計：     859000</t>
  </si>
  <si>
    <t>取引明細一覧表　　　　　　　　　　　　　出力日：2024/06/30　　PAGE:  6</t>
  </si>
  <si>
    <t>【004000 製造部　　　　　　　】</t>
  </si>
  <si>
    <t>EMP-00401 加藤　雄大　　　　　 2024/06/02 株式会社三河鉄工　　　　　　　　     520000 鋼材仕入</t>
  </si>
  <si>
    <t>EMP-00401 加藤　雄大　　　　　 2024/06/07 有限会社富士化学工業　　　　　　     183000 溶剤購入</t>
  </si>
  <si>
    <t>EMP-00401 加藤　雄大　　　　　 2024/06/14 株式会社三河鉄工　　　　　　　　     275000 特殊鋼材追加</t>
  </si>
  <si>
    <t>EMP-00401 加藤　雄大　　　　　 2024/06/21 合同会社精密工機　　　　　　　　     148000 切削工具</t>
  </si>
  <si>
    <t>EMP-00401 加藤　雄大　　　　　 2024/06/27 有限会社富士化学工業　　　　　　      92000 塗料購入</t>
  </si>
  <si>
    <t>EMP-00402 林　　美穂　　　　　 2024/06/04 株式会社三河鉄工　　　　　　　　     310000 アルミ材仕入</t>
  </si>
  <si>
    <t>EMP-00402 林　　美穂　　　　　 2024/06/12 合同会社精密工機　　　　　　　　     225000 研磨機部品</t>
  </si>
  <si>
    <t>EMP-00402 林　　美穂　　　　　 2024/06/19 有限会社富士化学工業　　　　　　      67000 接着剤発注</t>
  </si>
  <si>
    <t>EMP-00402 林　　美穂　　　　　 2024/06/25 株式会社三河鉄工　　　　　　　　     158000 ステンレス材</t>
  </si>
  <si>
    <t>小計：    1978000</t>
  </si>
  <si>
    <t>取引明細一覧表　　　　　　　　　　　　　出力日：2024/06/30　　PAGE:  7</t>
  </si>
  <si>
    <t>【004000 製造部　　　　　　　】（つづき）</t>
  </si>
  <si>
    <t>EMP-00403 斎藤　陽介　　　　　 2024/06/06 合同会社精密工機　　　　　　　　     430000 旋盤刃物交換</t>
  </si>
  <si>
    <t>EMP-00403 斎藤　陽介　　　　　 2024/06/13 株式会社三河鉄工　　　　　　　　     195000 銅材仕入</t>
  </si>
  <si>
    <t>EMP-00403 斎藤　陽介　　　　　 2024/06/18 有限会社富士化学工業　　　　　　     114000 防錆剤購入</t>
  </si>
  <si>
    <t>EMP-00403 斎藤　陽介　　　　　 2024/06/26 合同会社精密工機　　　　　　　　      76000 測定器校正</t>
  </si>
  <si>
    <t>EMP-00404 清水　結衣　　　　　 2024/06/09 株式会社三河鉄工　　　　　　　　     265000 合金材仕入</t>
  </si>
  <si>
    <t>EMP-00404 清水　結衣　　　　　 2024/06/16 有限会社富士化学工業　　　　　　      53000 洗浄液発注</t>
  </si>
  <si>
    <t>EMP-00404 清水　結衣　　　　　 2024/06/23 合同会社精密工機　　　　　　　　     188000 プレス金型修理</t>
  </si>
  <si>
    <t>EMP-00404 清水　結衣　　　　　 2024/06/30 株式会社三河鉄工　　　　　　　　     342000 チタン材仕入</t>
  </si>
  <si>
    <t>小計：    1663000</t>
  </si>
  <si>
    <t>取引明細一覧表　　　　　　　　　　　　　出力日：2024/06/30　　PAGE:  8</t>
  </si>
  <si>
    <t>【005000 経理部　　　　　　　】</t>
  </si>
  <si>
    <t>EMP-00501 山口　直樹　　　　　 2024/06/03 税理士法人青山会計　　　　　　　     350000 顧問料</t>
  </si>
  <si>
    <t>EMP-00501 山口　直樹　　　　　 2024/06/10 株式会社日本信用調査　　　　　　      85000 信用調査費</t>
  </si>
  <si>
    <t>EMP-00501 山口　直樹　　　　　 2024/06/17 合同会社オフィスサポート　　　　      46000 複合機リース料</t>
  </si>
  <si>
    <t>EMP-00501 山口　直樹　　　　　 2024/06/24 税理士法人青山会計　　　　　　　     120000 決算書類作成</t>
  </si>
  <si>
    <t>EMP-00502 前田　琴音　　　　　 2024/06/05 株式会社日本信用調査　　　　　　      72000 企業情報照会</t>
  </si>
  <si>
    <t>EMP-00502 前田　琴音　　　　　 2024/06/12 合同会社オフィスサポート　　　　      38000 シュレッダーリース</t>
  </si>
  <si>
    <t>EMP-00502 前田　琴音　　　　　 2024/06/19 税理士法人青山会計　　　　　　　      95000 税務相談料</t>
  </si>
  <si>
    <t>EMP-00502 前田　琴音　　　　　 2024/06/27 株式会社日本信用調査　　　　　　     160000 与信審査費</t>
  </si>
  <si>
    <t>小計：     966000</t>
  </si>
  <si>
    <t>取引明細一覧表　　　　　　　　　　　　　出力日：2024/06/30　　PAGE:  9</t>
  </si>
  <si>
    <t>【005000 経理部　　　　　　　】（つづき）</t>
  </si>
  <si>
    <t>EMP-00503 藤田　悠人　　　　　 2024/06/06 合同会社オフィスサポート　　　　      29000 トナー購入</t>
  </si>
  <si>
    <t>EMP-00503 藤田　悠人　　　　　 2024/06/14 税理士法人青山会計　　　　　　　     210000 中間監査対応</t>
  </si>
  <si>
    <t>EMP-00503 藤田　悠人　　　　　 2024/06/20 株式会社日本信用調査　　　　　　      55000 反社チェック費</t>
  </si>
  <si>
    <t>EMP-00503 藤田　悠人　　　　　 2024/06/28 合同会社オフィスサポート　　　　      82000 書類保管サービス</t>
  </si>
  <si>
    <t>EMP-00504 岡田　七海　　　　　 2024/06/08 税理士法人青山会計　　　　　　　     175000 年末調整委託</t>
  </si>
  <si>
    <t>EMP-00504 岡田　七海　　　　　 2024/06/15 株式会社日本信用調査　　　　　　      63000 登記簿取得代行</t>
  </si>
  <si>
    <t>EMP-00504 岡田　七海　　　　　 2024/06/22 合同会社オフィスサポート　　　　      41000 事務机リース料</t>
  </si>
  <si>
    <t>小計：     655000</t>
  </si>
  <si>
    <t>合計：   10396500</t>
  </si>
  <si>
    <t>取引日</t>
    <rPh sb="0" eb="3">
      <t>トリヒキビ</t>
    </rPh>
    <phoneticPr fontId="1"/>
  </si>
  <si>
    <t>取引先名</t>
    <rPh sb="0" eb="3">
      <t>トリヒキサキ</t>
    </rPh>
    <rPh sb="3" eb="4">
      <t>メイ</t>
    </rPh>
    <phoneticPr fontId="1"/>
  </si>
  <si>
    <t>金額</t>
    <rPh sb="0" eb="2">
      <t>キンガク</t>
    </rPh>
    <phoneticPr fontId="1"/>
  </si>
  <si>
    <t>摘要</t>
    <phoneticPr fontId="1"/>
  </si>
  <si>
    <t>① 貼付シートのD1セルに固定長テキストをそのまま貼り付ける</t>
  </si>
  <si>
    <t>② C列の判定式で部署名行（【で始まる行）を検出する</t>
  </si>
  <si>
    <t>③ B列のフィルダウン数式で、部署名をデータ行に引き継ぐ</t>
  </si>
  <si>
    <t>④ A列の判定式でデータ行だけに行番号の目印が付く（不要行は空欄になる）</t>
  </si>
  <si>
    <t>⑤ 抽出シートの作業列１が目印の付いたデータ行を取り込む</t>
  </si>
  <si>
    <t>⑥ 作業列２がデータ行に対応するB列（フィルダウンされた部署名）を取り込む</t>
  </si>
  <si>
    <t>⑦ 作業列１に対してMIDB関数でデータ行の各項目を切り出す</t>
  </si>
  <si>
    <t>⑨ TRIM関数で切り出し後の余分なスペースを除去する</t>
  </si>
  <si>
    <t>※ テンプレート①との違いは②③⑥⑧の工程です</t>
  </si>
  <si>
    <t>MIDBで切り出した金額は文字列として取得されるため、</t>
  </si>
  <si>
    <t>VALUE(TRIM(MIDB(...)))の形で数値に変換しています。</t>
  </si>
  <si>
    <t>これにより合計や集計の計算が可能になります。</t>
  </si>
  <si>
    <t>このテンプレートの核心はB列のフィルダウン数式です。</t>
  </si>
  <si>
    <t>貼付シートのC列は「【」で始まる行（部署名行）だけを検出します。</t>
  </si>
  <si>
    <t>B列は以下のロジックで動作します。</t>
  </si>
  <si>
    <t>数式：=IF(C2&lt;&gt;"",C2,B1)</t>
  </si>
  <si>
    <t>これにより部署名が各データ行に自動で補完されます。</t>
  </si>
  <si>
    <t>ページをまたいで「（つづき）」が出た場合も、</t>
  </si>
  <si>
    <t>C列に値があればその値を取得し、なければ前の値が引き継がれるので</t>
  </si>
  <si>
    <t>どちらのパターンでも正しく動作します。</t>
  </si>
  <si>
    <t>重要なポイント：</t>
  </si>
  <si>
    <t>フィルダウンは貼付シートの全行（データ行も不要行も含む）に対して行います。</t>
  </si>
  <si>
    <t>不要行の除外はA列の判定で行い、B列は純粋に「直近の部署名」を</t>
  </si>
  <si>
    <t>すべての行に保持する役割です。</t>
  </si>
  <si>
    <t>■ 貼付シートの列構成</t>
  </si>
  <si>
    <t>A列：データ行判定（データ行に連番、不要行は空欄）</t>
  </si>
  <si>
    <t>B列：フィルダウン（直近の部署名を引き継ぎ）</t>
  </si>
  <si>
    <t>C列：部署名行検出（【で始まる行だけ値が入る）</t>
  </si>
  <si>
    <t>D列：元テキスト（固定長テキストをそのまま貼り付ける場所）</t>
  </si>
  <si>
    <t>作業列１（A列）：貼付シートからデータ行（D列）を取り込む</t>
  </si>
  <si>
    <t>作業列２（B列）：貼付シートからフィルダウンされた部署名（B列）を取り込む</t>
  </si>
  <si>
    <t>作業列１からはデータ行の項目（従業員CD・氏名・取引日・取引先名・金額・摘要）を</t>
  </si>
  <si>
    <t>MIDBで切り出します。</t>
  </si>
  <si>
    <t>・親情報（部署名・会社名等）がどの行に印字されているか</t>
  </si>
  <si>
    <t>・親情報行を識別できる特徴は何か（このテンプレートでは「【」で始まる）</t>
  </si>
  <si>
    <t>・データ行を識別できる特徴は何か（このテンプレートでは「EMP-」で始まる）</t>
  </si>
  <si>
    <t>貼付シートには3種類の判定があります。</t>
  </si>
  <si>
    <t>【C列：親情報行の検出】</t>
  </si>
  <si>
    <t>「【」で始まる行を検出しています。</t>
  </si>
  <si>
    <t>自分の帳票で親情報行の特徴が異なる場合は書き換えてください。</t>
  </si>
  <si>
    <t>例：部署名が「■001000 総務部」の形式なら「■」で検出。</t>
  </si>
  <si>
    <t>【B列：フィルダウン】</t>
  </si>
  <si>
    <t>この数式は通常変更不要です。</t>
  </si>
  <si>
    <t>C列の検出が正しければ自動的に正しくフィルダウンされます。</t>
  </si>
  <si>
    <t>【A列：データ行の判定】</t>
  </si>
  <si>
    <t>自分の帳票に合わせてこれらの判定文字列を書き換えてください。</t>
  </si>
  <si>
    <t>どの作業列から切り出すか（A列・B列）を間違えないように注意してください。</t>
  </si>
  <si>
    <t>データ行の項目を追加する場合：</t>
  </si>
  <si>
    <t>親情報の項目を追加する場合：</t>
  </si>
  <si>
    <t>1. 貼付シートのD1セルに自分のテキストデータを貼り付ける</t>
  </si>
  <si>
    <t>2. C列で親情報行（部署名行）だけに値が入っていることを確認</t>
  </si>
  <si>
    <t>3. B列で全行に直近の部署名がフィルダウンされていることを確認</t>
  </si>
  <si>
    <t>4. A列でデータ行にだけ番号が付いていることを確認</t>
  </si>
  <si>
    <t>5. 抽出シートの作業列１にデータ行が正しく並んでいることを確認</t>
  </si>
  <si>
    <t>6. 作業列２に対応する部署名が正しく並んでいることを確認</t>
  </si>
  <si>
    <t>7. MIDB列で各項目が正しく切り出されていることを確認</t>
  </si>
  <si>
    <t>抽出シートは初期状態で100行分の数式が入っています。</t>
  </si>
  <si>
    <t>100行を超えるデータの場合は、抽出シートの最終行の数式を</t>
  </si>
  <si>
    <t>必要な行数分だけ下にコピーしてください。</t>
  </si>
  <si>
    <t>作業列（A～B列）とC列以降（MIDB切り出し）の両方を</t>
  </si>
  <si>
    <t>また貼付シートのB列（フィルダウン）も最終行まで数式が入っていることを</t>
  </si>
  <si>
    <t>確認してください。テキストデータの行数より短いと途中でフィルダウンが止まります。</t>
  </si>
  <si>
    <t>テンプレート②は複数行→1行結合。</t>
  </si>
  <si>
    <t>FILTER関数を使うことで抽出シートの取り込みをより簡潔に書くことができます。</t>
  </si>
  <si>
    <t>・フィルダウンの仕組み自体はFILTER関数では実現できず、</t>
  </si>
  <si>
    <t>　IF関数による上の行の参照が必要</t>
  </si>
  <si>
    <t>・まずフィルダウンの基本的な考え方（検出→引き継ぎ→抽出時に同時取得）を</t>
  </si>
  <si>
    <t>固定長テキスト整形テンプレート③（親情報フィルダウン＝引き継ぎ編） ― カスタマイズ手順書</t>
  </si>
  <si>
    <t>■ このテンプレートのテーマ</t>
  </si>
  <si>
    <t>このテンプレートは「引き継ぎ（フィルダウン）」に特化したテンプレートです。</t>
  </si>
  <si>
    <t>帳票の中で1回だけ印字される親情報（部署名・会社名・支店名など）を</t>
  </si>
  <si>
    <t>すべてのデータ行に自動で補完する仕組みを学ぶことが目的です。</t>
  </si>
  <si>
    <t>テンプレート①（不要行除去＋MIDB切り出し）と</t>
  </si>
  <si>
    <t>テンプレート②（複数行→1行結合）で学んだ技法に、</t>
  </si>
  <si>
    <t>この③の引き継ぎ（フィルダウン）を組み合わせれば、</t>
  </si>
  <si>
    <t>親情報の補完＋不要行除去＋複数行結合を同時に処理でき、</t>
  </si>
  <si>
    <t>実務で遭遇する固定長帳票の大半のパターンに対応できます。</t>
  </si>
  <si>
    <t>■ フィルダウン（引き継ぎ）の仕組み</t>
  </si>
  <si>
    <t>■ データが100行を超える場合</t>
  </si>
  <si>
    <t>■ テンプレート①②③の組み合わせ</t>
  </si>
  <si>
    <t>テンプレート①は不要行除去＋MIDB切り出し。</t>
  </si>
  <si>
    <t>テンプレート③は親情報のフィルダウン（引き継ぎ）補完。</t>
  </si>
  <si>
    <t>この3つの技法を組み合わせることで、</t>
  </si>
  <si>
    <t>「親情報が1回だけ印字され、データが複数行にまたがり、不要行が混在する」</t>
  </si>
  <si>
    <t>という実務で最も多い複雑な帳票にも対応できます。</t>
  </si>
  <si>
    <t>応用の考え方：</t>
  </si>
  <si>
    <t>・①の不要行除去は②③でも共通で使う基礎技術</t>
  </si>
  <si>
    <t>・②の複数行結合に③のフィルダウンを追加すれば</t>
  </si>
  <si>
    <t>　「部署名＋複数行の従業員情報」を1行にまとめられる</t>
  </si>
  <si>
    <t>・③のフィルダウンは部署名に限らず、会社名・支店名・担当者名など</t>
  </si>
  <si>
    <t>　「最初に1回だけ印字される情報」全般に応用可能</t>
  </si>
  <si>
    <t>・フィルダウン列は複数設置できるため、</t>
  </si>
  <si>
    <t>　会社名と部署名の2段階フィルダウンも同じ仕組みで対応可能</t>
  </si>
  <si>
    <t>部署名</t>
    <rPh sb="0" eb="3">
      <t>ブショメイ</t>
    </rPh>
    <phoneticPr fontId="1"/>
  </si>
  <si>
    <t>部署コード</t>
    <rPh sb="0" eb="2">
      <t>ブショ</t>
    </rPh>
    <phoneticPr fontId="1"/>
  </si>
  <si>
    <t>⑧ 作業列２に対してMIDB関数で部署コード・部署名を切り出す</t>
  </si>
  <si>
    <t>部署名のように「1回だけ印字されて以降省略される親情報」を</t>
  </si>
  <si>
    <t>各データ行に補完する仕組みが追加されています</t>
  </si>
  <si>
    <t>固定長テキストの埋め文字が全角スペースの場合は</t>
  </si>
  <si>
    <t>SUBSTITUTE関数で全角スペースを半角スペースに置換してからTRIMをかけるか、</t>
  </si>
  <si>
    <t>別途対処が必要です。</t>
  </si>
  <si>
    <t>C列に値があれば → その値を取得（新しい部署名が出現した）</t>
  </si>
  <si>
    <t>C列が空欄なら → 1つ上のB列の値を引き継ぐ</t>
  </si>
  <si>
    <t>■ 抽出シートの列構成</t>
  </si>
  <si>
    <t>番号（C列）：連番</t>
  </si>
  <si>
    <t>従業員CD（D列）：作業列１からMIDBで切り出し</t>
  </si>
  <si>
    <t>氏名（E列）：作業列１からMIDBで切り出し</t>
  </si>
  <si>
    <t>取引日（F列）：作業列１からMIDBで切り出し</t>
  </si>
  <si>
    <t>取引先名（G列）：作業列１からMIDBで切り出し</t>
  </si>
  <si>
    <t>部署コード（H列）：作業列２からMIDBで切り出し</t>
  </si>
  <si>
    <t>部署名（I列）：作業列２からMIDBで切り出し</t>
  </si>
  <si>
    <t>金額（J列）：作業列１からMIDBで切り出し（VALUE関数で数値変換）</t>
  </si>
  <si>
    <t>摘要（K列）：作業列１からMIDBで切り出し</t>
  </si>
  <si>
    <t>作業列２からは部署名行の情報（部署コード・部署名）をMIDBで切り出します。</t>
  </si>
  <si>
    <t>・親情報行のバイト位置（部署コードと部署名がどこにあるか）</t>
  </si>
  <si>
    <t>【データ行】（作業列１から切り出し）</t>
  </si>
  <si>
    <t>項目名　　　開始バイト　バイト数　型</t>
  </si>
  <si>
    <t>─────────────────────────────────</t>
  </si>
  <si>
    <t>従業員CD　　　 1　　　　　 9　　　半角</t>
  </si>
  <si>
    <t>氏名　　　　　11　　　　　20　　　全角混在</t>
  </si>
  <si>
    <t>取引日　　　　32　　　　　10　　　半角</t>
  </si>
  <si>
    <t>取引先名　　　43　　　　　30　　　全角混在</t>
  </si>
  <si>
    <t>金額　　　　　74　　　　　10　　　半角数字</t>
  </si>
  <si>
    <t>摘要　　　　　85　　　　　20　　　全角混在</t>
  </si>
  <si>
    <t>【部署名行】（作業列２から切り出し）</t>
  </si>
  <si>
    <t>部署名行の形式：【001000 総務部　　　　　　　】</t>
  </si>
  <si>
    <t>部署コード・部署名はこの文字列からMIDBで切り出します。</t>
  </si>
  <si>
    <t>※「（つづき）」が付く場合もあるため、バイト位置で切り出すことで</t>
  </si>
  <si>
    <t>「（つづき）」の有無に関係なく正しく取得できます。</t>
  </si>
  <si>
    <t>「====」　　→ 区切り線</t>
  </si>
  <si>
    <t>「────」　　→ 罫線</t>
  </si>
  <si>
    <t>「取引明細」→ ページヘッダー</t>
  </si>
  <si>
    <t>「従業員CD」→ 列見出し</t>
  </si>
  <si>
    <t>「【」　　　→ 部署名行（親情報行自体はデータ行ではない）</t>
  </si>
  <si>
    <t>「小計：」　→ 小計行</t>
  </si>
  <si>
    <t>「合計：」　→ 合計行</t>
  </si>
  <si>
    <t>「PAGE:」　 → ページフッター</t>
  </si>
  <si>
    <t>空白行</t>
  </si>
  <si>
    <t>【作業列１から切り出し（データ行の項目）】</t>
  </si>
  <si>
    <t>従業員CD　 =TRIM(MIDB(A2, 1, 9))</t>
  </si>
  <si>
    <t>氏名　　　 =TRIM(MIDB(A2, 11, 20))</t>
  </si>
  <si>
    <t>取引日　　 =TRIM(MIDB(A2, 32, 10))</t>
  </si>
  <si>
    <t>取引先名　 =TRIM(MIDB(A2, 43, 30))</t>
  </si>
  <si>
    <t>金額　　　 =VALUE(TRIM(MIDB(A2, 74, 10)))</t>
  </si>
  <si>
    <t>摘要　　　 =TRIM(MIDB(A2, 85, 20))</t>
  </si>
  <si>
    <t>【作業列２から切り出し（部署名行の項目）】</t>
  </si>
  <si>
    <t>部署コード・部署名は作業列２（B列）に入った部署名行の文字列から切り出します。</t>
  </si>
  <si>
    <t>※ バイト位置は部署名行の形式に依存します。</t>
  </si>
  <si>
    <t>既存のMIDB列をコピーして右に挿入し、開始バイトとバイト数を変更します。</t>
  </si>
  <si>
    <t>参照先は作業列１（A列）です。</t>
  </si>
  <si>
    <t>作業列２（B列）から別の項目をMIDBで切り出す列を追加します。</t>
  </si>
  <si>
    <t>例：部署名行に課コードが含まれている場合など。</t>
  </si>
  <si>
    <t>不要な列を削除するだけです。他の列の数式には影響しません。</t>
  </si>
  <si>
    <t>ただし作業列（A～B列）は削除しないでください。</t>
  </si>
  <si>
    <t>（ページをまたいでも途切れずに引き継がれていること）</t>
  </si>
  <si>
    <t>8. 部署コード・部署名が作業列２から正しく切り出されていることを確認</t>
  </si>
  <si>
    <t>9. 金額列が数値になっていることを確認（SUMで合計できればOK）</t>
  </si>
  <si>
    <t>部署名が途切れる → B列のフィルダウン数式が途中で切れている</t>
  </si>
  <si>
    <t>　数式を最終行までコピーしてください</t>
  </si>
  <si>
    <t>部署名がずれる → C列の検出で不要な行まで拾っている</t>
  </si>
  <si>
    <t>　または検出すべき行を見逃している</t>
  </si>
  <si>
    <t>「（つづき）」で別の部署名になる → C列の検出が正しく動いている場合は</t>
  </si>
  <si>
    <t>　B列のフィルダウンで「（つづき）」付きの値に更新されます</t>
  </si>
  <si>
    <t>　MIDBでバイト位置指定すれば部署コードは正しく取れます</t>
  </si>
  <si>
    <t>文字化け　　→ テキストの文字コードがShift_JISか確認</t>
  </si>
  <si>
    <t>項目がずれる→ バイト位置の数え間違い（全角は2バイト）</t>
  </si>
  <si>
    <t>後ろにスペースが残る → TRIM関数が入っているか確認</t>
  </si>
  <si>
    <t>全角スペースが残る　 → TRIMは半角スペースのみ除去のため別途対処が必要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</si>
</sst>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7ED8-A874-420C-82DE-85307DB17D88}">
  <dimension ref="A1:D159"/>
  <sheetViews>
    <sheetView tabSelected="1" workbookViewId="0">
      <selection activeCell="E5" sqref="E5"/>
    </sheetView>
  </sheetViews>
  <sheetFormatPr defaultRowHeight="17.649999999999999" x14ac:dyDescent="0.7"/>
  <cols>
    <col min="1" max="1" width="9" customWidth="1"/>
    <col min="2" max="2" width="26.875" customWidth="1"/>
    <col min="3" max="3" width="15.875" customWidth="1"/>
  </cols>
  <sheetData>
    <row r="1" spans="1:4" x14ac:dyDescent="0.7">
      <c r="D1" s="3" t="s">
        <v>0</v>
      </c>
    </row>
    <row r="2" spans="1:4" x14ac:dyDescent="0.7">
      <c r="D2" t="s">
        <v>67</v>
      </c>
    </row>
    <row r="3" spans="1:4" x14ac:dyDescent="0.7">
      <c r="D3" t="s">
        <v>0</v>
      </c>
    </row>
    <row r="4" spans="1:4" x14ac:dyDescent="0.7">
      <c r="D4" t="s">
        <v>68</v>
      </c>
    </row>
    <row r="5" spans="1:4" x14ac:dyDescent="0.7">
      <c r="D5" t="s">
        <v>69</v>
      </c>
    </row>
    <row r="6" spans="1:4" x14ac:dyDescent="0.7">
      <c r="A6" s="3"/>
      <c r="B6" s="3" t="str">
        <f t="shared" ref="B6:B66" si="0">IF(C6&lt;&gt;"",C6,B5)</f>
        <v>【001000 総務部　　　　　　　】</v>
      </c>
      <c r="C6" s="3" t="str">
        <f>IF(MIDB(D6,1,2)="【",D6,"")</f>
        <v>【001000 総務部　　　　　　　】</v>
      </c>
      <c r="D6" t="s">
        <v>70</v>
      </c>
    </row>
    <row r="7" spans="1:4" x14ac:dyDescent="0.7">
      <c r="A7" s="3">
        <f>IF(MIDB(D7,4,1)="-",ROW(D7),"")</f>
        <v>7</v>
      </c>
      <c r="B7" s="3" t="str">
        <f t="shared" si="0"/>
        <v>【001000 総務部　　　　　　　】</v>
      </c>
      <c r="C7" s="3" t="str">
        <f t="shared" ref="C7:C70" si="1">IF(MIDB(D7,1,2)="【",D7,"")</f>
        <v/>
      </c>
      <c r="D7" t="s">
        <v>71</v>
      </c>
    </row>
    <row r="8" spans="1:4" x14ac:dyDescent="0.7">
      <c r="A8" s="3">
        <f>IF(MIDB(D8,4,1)="-",ROW(D8),"")</f>
        <v>8</v>
      </c>
      <c r="B8" s="3" t="str">
        <f t="shared" si="0"/>
        <v>【001000 総務部　　　　　　　】</v>
      </c>
      <c r="C8" s="3" t="str">
        <f t="shared" si="1"/>
        <v/>
      </c>
      <c r="D8" t="s">
        <v>72</v>
      </c>
    </row>
    <row r="9" spans="1:4" x14ac:dyDescent="0.7">
      <c r="A9" s="3">
        <f t="shared" ref="A9:A72" si="2">IF(MIDB(D9,4,1)="-",ROW(D9),"")</f>
        <v>9</v>
      </c>
      <c r="B9" s="3" t="str">
        <f t="shared" si="0"/>
        <v>【001000 総務部　　　　　　　】</v>
      </c>
      <c r="C9" s="3" t="str">
        <f t="shared" si="1"/>
        <v/>
      </c>
      <c r="D9" t="s">
        <v>73</v>
      </c>
    </row>
    <row r="10" spans="1:4" x14ac:dyDescent="0.7">
      <c r="A10" s="3">
        <f t="shared" si="2"/>
        <v>10</v>
      </c>
      <c r="B10" s="3" t="str">
        <f t="shared" si="0"/>
        <v>【001000 総務部　　　　　　　】</v>
      </c>
      <c r="C10" s="3" t="str">
        <f t="shared" si="1"/>
        <v/>
      </c>
      <c r="D10" t="s">
        <v>74</v>
      </c>
    </row>
    <row r="11" spans="1:4" x14ac:dyDescent="0.7">
      <c r="A11" s="3">
        <f t="shared" si="2"/>
        <v>11</v>
      </c>
      <c r="B11" s="3" t="str">
        <f t="shared" si="0"/>
        <v>【001000 総務部　　　　　　　】</v>
      </c>
      <c r="C11" s="3" t="str">
        <f t="shared" si="1"/>
        <v/>
      </c>
      <c r="D11" t="s">
        <v>75</v>
      </c>
    </row>
    <row r="12" spans="1:4" x14ac:dyDescent="0.7">
      <c r="A12" s="3">
        <f t="shared" si="2"/>
        <v>12</v>
      </c>
      <c r="B12" s="3" t="str">
        <f t="shared" si="0"/>
        <v>【001000 総務部　　　　　　　】</v>
      </c>
      <c r="C12" s="3" t="str">
        <f t="shared" si="1"/>
        <v/>
      </c>
      <c r="D12" t="s">
        <v>76</v>
      </c>
    </row>
    <row r="13" spans="1:4" x14ac:dyDescent="0.7">
      <c r="A13" s="3">
        <f t="shared" si="2"/>
        <v>13</v>
      </c>
      <c r="B13" s="3" t="str">
        <f t="shared" si="0"/>
        <v>【001000 総務部　　　　　　　】</v>
      </c>
      <c r="C13" s="3" t="str">
        <f t="shared" si="1"/>
        <v/>
      </c>
      <c r="D13" t="s">
        <v>77</v>
      </c>
    </row>
    <row r="14" spans="1:4" x14ac:dyDescent="0.7">
      <c r="A14" s="3">
        <f t="shared" si="2"/>
        <v>14</v>
      </c>
      <c r="B14" s="3" t="str">
        <f t="shared" si="0"/>
        <v>【001000 総務部　　　　　　　】</v>
      </c>
      <c r="C14" s="3" t="str">
        <f t="shared" si="1"/>
        <v/>
      </c>
      <c r="D14" t="s">
        <v>78</v>
      </c>
    </row>
    <row r="15" spans="1:4" x14ac:dyDescent="0.7">
      <c r="A15" s="3" t="str">
        <f t="shared" si="2"/>
        <v/>
      </c>
      <c r="B15" s="3" t="str">
        <f t="shared" si="0"/>
        <v>【001000 総務部　　　　　　　】</v>
      </c>
      <c r="C15" s="3" t="str">
        <f t="shared" si="1"/>
        <v/>
      </c>
      <c r="D15" t="s">
        <v>69</v>
      </c>
    </row>
    <row r="16" spans="1:4" x14ac:dyDescent="0.7">
      <c r="A16" s="3" t="str">
        <f t="shared" si="2"/>
        <v/>
      </c>
      <c r="B16" s="3" t="str">
        <f t="shared" si="0"/>
        <v>【001000 総務部　　　　　　　】</v>
      </c>
      <c r="C16" s="3" t="str">
        <f t="shared" si="1"/>
        <v/>
      </c>
      <c r="D16" t="s">
        <v>79</v>
      </c>
    </row>
    <row r="17" spans="1:4" x14ac:dyDescent="0.7">
      <c r="A17" s="3" t="str">
        <f t="shared" si="2"/>
        <v/>
      </c>
      <c r="B17" s="3" t="str">
        <f t="shared" si="0"/>
        <v>【001000 総務部　　　　　　　】</v>
      </c>
      <c r="C17" s="3" t="str">
        <f t="shared" si="1"/>
        <v/>
      </c>
    </row>
    <row r="18" spans="1:4" x14ac:dyDescent="0.7">
      <c r="A18" s="3" t="str">
        <f t="shared" si="2"/>
        <v/>
      </c>
      <c r="B18" s="3" t="str">
        <f t="shared" si="0"/>
        <v>【001000 総務部　　　　　　　】</v>
      </c>
      <c r="C18" s="3" t="str">
        <f t="shared" si="1"/>
        <v/>
      </c>
      <c r="D18" t="s">
        <v>0</v>
      </c>
    </row>
    <row r="19" spans="1:4" x14ac:dyDescent="0.7">
      <c r="A19" s="3" t="str">
        <f t="shared" si="2"/>
        <v/>
      </c>
      <c r="B19" s="3" t="str">
        <f t="shared" si="0"/>
        <v>【001000 総務部　　　　　　　】</v>
      </c>
      <c r="C19" s="3" t="str">
        <f t="shared" si="1"/>
        <v/>
      </c>
      <c r="D19" t="s">
        <v>80</v>
      </c>
    </row>
    <row r="20" spans="1:4" x14ac:dyDescent="0.7">
      <c r="A20" s="3" t="str">
        <f t="shared" si="2"/>
        <v/>
      </c>
      <c r="B20" s="3" t="str">
        <f t="shared" si="0"/>
        <v>【001000 総務部　　　　　　　】</v>
      </c>
      <c r="C20" s="3" t="str">
        <f t="shared" si="1"/>
        <v/>
      </c>
      <c r="D20" t="s">
        <v>0</v>
      </c>
    </row>
    <row r="21" spans="1:4" x14ac:dyDescent="0.7">
      <c r="A21" s="3" t="str">
        <f t="shared" si="2"/>
        <v/>
      </c>
      <c r="B21" s="3" t="str">
        <f t="shared" si="0"/>
        <v>【001000 総務部　　　　　　　】</v>
      </c>
      <c r="C21" s="3" t="str">
        <f t="shared" si="1"/>
        <v/>
      </c>
      <c r="D21" t="s">
        <v>68</v>
      </c>
    </row>
    <row r="22" spans="1:4" x14ac:dyDescent="0.7">
      <c r="A22" s="3" t="str">
        <f t="shared" si="2"/>
        <v/>
      </c>
      <c r="B22" s="3" t="str">
        <f t="shared" si="0"/>
        <v>【001000 総務部　　　　　　　】</v>
      </c>
      <c r="C22" s="3" t="str">
        <f t="shared" si="1"/>
        <v/>
      </c>
      <c r="D22" t="s">
        <v>69</v>
      </c>
    </row>
    <row r="23" spans="1:4" x14ac:dyDescent="0.7">
      <c r="A23" s="3" t="str">
        <f t="shared" si="2"/>
        <v/>
      </c>
      <c r="B23" s="3" t="str">
        <f t="shared" si="0"/>
        <v>【001000 総務部　　　　　　　】（つづき）</v>
      </c>
      <c r="C23" s="3" t="str">
        <f t="shared" si="1"/>
        <v>【001000 総務部　　　　　　　】（つづき）</v>
      </c>
      <c r="D23" t="s">
        <v>81</v>
      </c>
    </row>
    <row r="24" spans="1:4" x14ac:dyDescent="0.7">
      <c r="A24" s="3">
        <f t="shared" si="2"/>
        <v>24</v>
      </c>
      <c r="B24" s="3" t="str">
        <f t="shared" si="0"/>
        <v>【001000 総務部　　　　　　　】（つづき）</v>
      </c>
      <c r="C24" s="3" t="str">
        <f t="shared" si="1"/>
        <v/>
      </c>
      <c r="D24" t="s">
        <v>82</v>
      </c>
    </row>
    <row r="25" spans="1:4" x14ac:dyDescent="0.7">
      <c r="A25" s="3">
        <f t="shared" si="2"/>
        <v>25</v>
      </c>
      <c r="B25" s="3" t="str">
        <f t="shared" si="0"/>
        <v>【001000 総務部　　　　　　　】（つづき）</v>
      </c>
      <c r="C25" s="3" t="str">
        <f t="shared" si="1"/>
        <v/>
      </c>
      <c r="D25" t="s">
        <v>83</v>
      </c>
    </row>
    <row r="26" spans="1:4" x14ac:dyDescent="0.7">
      <c r="A26" s="3">
        <f t="shared" si="2"/>
        <v>26</v>
      </c>
      <c r="B26" s="3" t="str">
        <f t="shared" si="0"/>
        <v>【001000 総務部　　　　　　　】（つづき）</v>
      </c>
      <c r="C26" s="3" t="str">
        <f t="shared" si="1"/>
        <v/>
      </c>
      <c r="D26" t="s">
        <v>84</v>
      </c>
    </row>
    <row r="27" spans="1:4" x14ac:dyDescent="0.7">
      <c r="A27" s="3">
        <f t="shared" si="2"/>
        <v>27</v>
      </c>
      <c r="B27" s="3" t="str">
        <f t="shared" si="0"/>
        <v>【001000 総務部　　　　　　　】（つづき）</v>
      </c>
      <c r="C27" s="3" t="str">
        <f t="shared" si="1"/>
        <v/>
      </c>
      <c r="D27" t="s">
        <v>85</v>
      </c>
    </row>
    <row r="28" spans="1:4" x14ac:dyDescent="0.7">
      <c r="A28" s="3">
        <f t="shared" si="2"/>
        <v>28</v>
      </c>
      <c r="B28" s="3" t="str">
        <f t="shared" si="0"/>
        <v>【001000 総務部　　　　　　　】（つづき）</v>
      </c>
      <c r="C28" s="3" t="str">
        <f t="shared" si="1"/>
        <v/>
      </c>
      <c r="D28" t="s">
        <v>86</v>
      </c>
    </row>
    <row r="29" spans="1:4" x14ac:dyDescent="0.7">
      <c r="A29" s="3">
        <f t="shared" si="2"/>
        <v>29</v>
      </c>
      <c r="B29" s="3" t="str">
        <f t="shared" si="0"/>
        <v>【001000 総務部　　　　　　　】（つづき）</v>
      </c>
      <c r="C29" s="3" t="str">
        <f t="shared" si="1"/>
        <v/>
      </c>
      <c r="D29" t="s">
        <v>87</v>
      </c>
    </row>
    <row r="30" spans="1:4" x14ac:dyDescent="0.7">
      <c r="A30" s="3" t="str">
        <f t="shared" si="2"/>
        <v/>
      </c>
      <c r="B30" s="3" t="str">
        <f t="shared" si="0"/>
        <v>【001000 総務部　　　　　　　】（つづき）</v>
      </c>
      <c r="C30" s="3" t="str">
        <f t="shared" si="1"/>
        <v/>
      </c>
      <c r="D30" t="s">
        <v>69</v>
      </c>
    </row>
    <row r="31" spans="1:4" x14ac:dyDescent="0.7">
      <c r="A31" s="3" t="str">
        <f t="shared" si="2"/>
        <v/>
      </c>
      <c r="B31" s="3" t="str">
        <f t="shared" si="0"/>
        <v>【001000 総務部　　　　　　　】（つづき）</v>
      </c>
      <c r="C31" s="3" t="str">
        <f t="shared" si="1"/>
        <v/>
      </c>
      <c r="D31" t="s">
        <v>88</v>
      </c>
    </row>
    <row r="32" spans="1:4" x14ac:dyDescent="0.7">
      <c r="A32" s="3" t="str">
        <f t="shared" si="2"/>
        <v/>
      </c>
      <c r="B32" s="3" t="str">
        <f t="shared" si="0"/>
        <v>【001000 総務部　　　　　　　】（つづき）</v>
      </c>
      <c r="C32" s="3" t="str">
        <f t="shared" si="1"/>
        <v/>
      </c>
    </row>
    <row r="33" spans="1:4" x14ac:dyDescent="0.7">
      <c r="A33" s="3" t="str">
        <f t="shared" si="2"/>
        <v/>
      </c>
      <c r="B33" s="3" t="str">
        <f t="shared" si="0"/>
        <v>【001000 総務部　　　　　　　】（つづき）</v>
      </c>
      <c r="C33" s="3" t="str">
        <f t="shared" si="1"/>
        <v/>
      </c>
      <c r="D33" t="s">
        <v>0</v>
      </c>
    </row>
    <row r="34" spans="1:4" x14ac:dyDescent="0.7">
      <c r="A34" s="3" t="str">
        <f t="shared" si="2"/>
        <v/>
      </c>
      <c r="B34" s="3" t="str">
        <f t="shared" si="0"/>
        <v>【001000 総務部　　　　　　　】（つづき）</v>
      </c>
      <c r="C34" s="3" t="str">
        <f t="shared" si="1"/>
        <v/>
      </c>
      <c r="D34" t="s">
        <v>89</v>
      </c>
    </row>
    <row r="35" spans="1:4" x14ac:dyDescent="0.7">
      <c r="A35" s="3" t="str">
        <f t="shared" si="2"/>
        <v/>
      </c>
      <c r="B35" s="3" t="str">
        <f t="shared" si="0"/>
        <v>【001000 総務部　　　　　　　】（つづき）</v>
      </c>
      <c r="C35" s="3" t="str">
        <f t="shared" si="1"/>
        <v/>
      </c>
      <c r="D35" t="s">
        <v>0</v>
      </c>
    </row>
    <row r="36" spans="1:4" x14ac:dyDescent="0.7">
      <c r="A36" s="3" t="str">
        <f t="shared" si="2"/>
        <v/>
      </c>
      <c r="B36" s="3" t="str">
        <f t="shared" si="0"/>
        <v>【001000 総務部　　　　　　　】（つづき）</v>
      </c>
      <c r="C36" s="3" t="str">
        <f t="shared" si="1"/>
        <v/>
      </c>
      <c r="D36" t="s">
        <v>68</v>
      </c>
    </row>
    <row r="37" spans="1:4" x14ac:dyDescent="0.7">
      <c r="A37" s="3" t="str">
        <f t="shared" si="2"/>
        <v/>
      </c>
      <c r="B37" s="3" t="str">
        <f t="shared" si="0"/>
        <v>【001000 総務部　　　　　　　】（つづき）</v>
      </c>
      <c r="C37" s="3" t="str">
        <f t="shared" si="1"/>
        <v/>
      </c>
      <c r="D37" t="s">
        <v>69</v>
      </c>
    </row>
    <row r="38" spans="1:4" x14ac:dyDescent="0.7">
      <c r="A38" s="3" t="str">
        <f t="shared" si="2"/>
        <v/>
      </c>
      <c r="B38" s="3" t="str">
        <f t="shared" si="0"/>
        <v>【002000 営業第一課　　　　　】</v>
      </c>
      <c r="C38" s="3" t="str">
        <f t="shared" si="1"/>
        <v>【002000 営業第一課　　　　　】</v>
      </c>
      <c r="D38" t="s">
        <v>90</v>
      </c>
    </row>
    <row r="39" spans="1:4" x14ac:dyDescent="0.7">
      <c r="A39" s="3">
        <f t="shared" si="2"/>
        <v>39</v>
      </c>
      <c r="B39" s="3" t="str">
        <f t="shared" si="0"/>
        <v>【002000 営業第一課　　　　　】</v>
      </c>
      <c r="C39" s="3" t="str">
        <f t="shared" si="1"/>
        <v/>
      </c>
      <c r="D39" t="s">
        <v>91</v>
      </c>
    </row>
    <row r="40" spans="1:4" x14ac:dyDescent="0.7">
      <c r="A40" s="3">
        <f t="shared" si="2"/>
        <v>40</v>
      </c>
      <c r="B40" s="3" t="str">
        <f t="shared" si="0"/>
        <v>【002000 営業第一課　　　　　】</v>
      </c>
      <c r="C40" s="3" t="str">
        <f t="shared" si="1"/>
        <v/>
      </c>
      <c r="D40" t="s">
        <v>92</v>
      </c>
    </row>
    <row r="41" spans="1:4" x14ac:dyDescent="0.7">
      <c r="A41" s="3">
        <f t="shared" si="2"/>
        <v>41</v>
      </c>
      <c r="B41" s="3" t="str">
        <f t="shared" si="0"/>
        <v>【002000 営業第一課　　　　　】</v>
      </c>
      <c r="C41" s="3" t="str">
        <f t="shared" si="1"/>
        <v/>
      </c>
      <c r="D41" t="s">
        <v>93</v>
      </c>
    </row>
    <row r="42" spans="1:4" x14ac:dyDescent="0.7">
      <c r="A42" s="3">
        <f t="shared" si="2"/>
        <v>42</v>
      </c>
      <c r="B42" s="3" t="str">
        <f t="shared" si="0"/>
        <v>【002000 営業第一課　　　　　】</v>
      </c>
      <c r="C42" s="3" t="str">
        <f t="shared" si="1"/>
        <v/>
      </c>
      <c r="D42" t="s">
        <v>94</v>
      </c>
    </row>
    <row r="43" spans="1:4" x14ac:dyDescent="0.7">
      <c r="A43" s="3">
        <f t="shared" si="2"/>
        <v>43</v>
      </c>
      <c r="B43" s="3" t="str">
        <f t="shared" si="0"/>
        <v>【002000 営業第一課　　　　　】</v>
      </c>
      <c r="C43" s="3" t="str">
        <f t="shared" si="1"/>
        <v/>
      </c>
      <c r="D43" t="s">
        <v>95</v>
      </c>
    </row>
    <row r="44" spans="1:4" x14ac:dyDescent="0.7">
      <c r="A44" s="3">
        <f t="shared" si="2"/>
        <v>44</v>
      </c>
      <c r="B44" s="3" t="str">
        <f t="shared" si="0"/>
        <v>【002000 営業第一課　　　　　】</v>
      </c>
      <c r="C44" s="3" t="str">
        <f t="shared" si="1"/>
        <v/>
      </c>
      <c r="D44" t="s">
        <v>96</v>
      </c>
    </row>
    <row r="45" spans="1:4" x14ac:dyDescent="0.7">
      <c r="A45" s="3">
        <f t="shared" si="2"/>
        <v>45</v>
      </c>
      <c r="B45" s="3" t="str">
        <f t="shared" si="0"/>
        <v>【002000 営業第一課　　　　　】</v>
      </c>
      <c r="C45" s="3" t="str">
        <f t="shared" si="1"/>
        <v/>
      </c>
      <c r="D45" t="s">
        <v>97</v>
      </c>
    </row>
    <row r="46" spans="1:4" x14ac:dyDescent="0.7">
      <c r="A46" s="3">
        <f t="shared" si="2"/>
        <v>46</v>
      </c>
      <c r="B46" s="3" t="str">
        <f t="shared" si="0"/>
        <v>【002000 営業第一課　　　　　】</v>
      </c>
      <c r="C46" s="3" t="str">
        <f t="shared" si="1"/>
        <v/>
      </c>
      <c r="D46" t="s">
        <v>98</v>
      </c>
    </row>
    <row r="47" spans="1:4" x14ac:dyDescent="0.7">
      <c r="A47" s="3">
        <f t="shared" si="2"/>
        <v>47</v>
      </c>
      <c r="B47" s="3" t="str">
        <f t="shared" si="0"/>
        <v>【002000 営業第一課　　　　　】</v>
      </c>
      <c r="C47" s="3" t="str">
        <f t="shared" si="1"/>
        <v/>
      </c>
      <c r="D47" t="s">
        <v>99</v>
      </c>
    </row>
    <row r="48" spans="1:4" x14ac:dyDescent="0.7">
      <c r="A48" s="3">
        <f t="shared" si="2"/>
        <v>48</v>
      </c>
      <c r="B48" s="3" t="str">
        <f t="shared" si="0"/>
        <v>【002000 営業第一課　　　　　】</v>
      </c>
      <c r="C48" s="3" t="str">
        <f t="shared" si="1"/>
        <v/>
      </c>
      <c r="D48" t="s">
        <v>100</v>
      </c>
    </row>
    <row r="49" spans="1:4" x14ac:dyDescent="0.7">
      <c r="A49" s="3" t="str">
        <f t="shared" si="2"/>
        <v/>
      </c>
      <c r="B49" s="3" t="str">
        <f t="shared" si="0"/>
        <v>【002000 営業第一課　　　　　】</v>
      </c>
      <c r="C49" s="3" t="str">
        <f t="shared" si="1"/>
        <v/>
      </c>
      <c r="D49" t="s">
        <v>69</v>
      </c>
    </row>
    <row r="50" spans="1:4" x14ac:dyDescent="0.7">
      <c r="A50" s="3" t="str">
        <f t="shared" si="2"/>
        <v/>
      </c>
      <c r="B50" s="3" t="str">
        <f t="shared" si="0"/>
        <v>【002000 営業第一課　　　　　】</v>
      </c>
      <c r="C50" s="3" t="str">
        <f t="shared" si="1"/>
        <v/>
      </c>
      <c r="D50" t="s">
        <v>101</v>
      </c>
    </row>
    <row r="51" spans="1:4" x14ac:dyDescent="0.7">
      <c r="A51" s="3" t="str">
        <f t="shared" si="2"/>
        <v/>
      </c>
      <c r="B51" s="3" t="str">
        <f t="shared" si="0"/>
        <v>【002000 営業第一課　　　　　】</v>
      </c>
      <c r="C51" s="3" t="str">
        <f t="shared" si="1"/>
        <v/>
      </c>
    </row>
    <row r="52" spans="1:4" x14ac:dyDescent="0.7">
      <c r="A52" s="3" t="str">
        <f t="shared" si="2"/>
        <v/>
      </c>
      <c r="B52" s="3" t="str">
        <f t="shared" si="0"/>
        <v>【002000 営業第一課　　　　　】</v>
      </c>
      <c r="C52" s="3" t="str">
        <f t="shared" si="1"/>
        <v/>
      </c>
      <c r="D52" t="s">
        <v>0</v>
      </c>
    </row>
    <row r="53" spans="1:4" x14ac:dyDescent="0.7">
      <c r="A53" s="3" t="str">
        <f t="shared" si="2"/>
        <v/>
      </c>
      <c r="B53" s="3" t="str">
        <f t="shared" si="0"/>
        <v>【002000 営業第一課　　　　　】</v>
      </c>
      <c r="C53" s="3" t="str">
        <f t="shared" si="1"/>
        <v/>
      </c>
      <c r="D53" t="s">
        <v>102</v>
      </c>
    </row>
    <row r="54" spans="1:4" x14ac:dyDescent="0.7">
      <c r="A54" s="3" t="str">
        <f t="shared" si="2"/>
        <v/>
      </c>
      <c r="B54" s="3" t="str">
        <f t="shared" si="0"/>
        <v>【002000 営業第一課　　　　　】</v>
      </c>
      <c r="C54" s="3" t="str">
        <f t="shared" si="1"/>
        <v/>
      </c>
      <c r="D54" t="s">
        <v>0</v>
      </c>
    </row>
    <row r="55" spans="1:4" x14ac:dyDescent="0.7">
      <c r="A55" s="3" t="str">
        <f t="shared" si="2"/>
        <v/>
      </c>
      <c r="B55" s="3" t="str">
        <f t="shared" si="0"/>
        <v>【002000 営業第一課　　　　　】</v>
      </c>
      <c r="C55" s="3" t="str">
        <f t="shared" si="1"/>
        <v/>
      </c>
      <c r="D55" t="s">
        <v>68</v>
      </c>
    </row>
    <row r="56" spans="1:4" x14ac:dyDescent="0.7">
      <c r="A56" s="3" t="str">
        <f t="shared" si="2"/>
        <v/>
      </c>
      <c r="B56" s="3" t="str">
        <f t="shared" si="0"/>
        <v>【002000 営業第一課　　　　　】</v>
      </c>
      <c r="C56" s="3" t="str">
        <f t="shared" si="1"/>
        <v/>
      </c>
      <c r="D56" t="s">
        <v>69</v>
      </c>
    </row>
    <row r="57" spans="1:4" x14ac:dyDescent="0.7">
      <c r="A57" s="3" t="str">
        <f t="shared" si="2"/>
        <v/>
      </c>
      <c r="B57" s="3" t="str">
        <f t="shared" si="0"/>
        <v>【002000 営業第一課　　　　　】（つづき）</v>
      </c>
      <c r="C57" s="3" t="str">
        <f t="shared" si="1"/>
        <v>【002000 営業第一課　　　　　】（つづき）</v>
      </c>
      <c r="D57" t="s">
        <v>103</v>
      </c>
    </row>
    <row r="58" spans="1:4" x14ac:dyDescent="0.7">
      <c r="A58" s="3">
        <f t="shared" si="2"/>
        <v>58</v>
      </c>
      <c r="B58" s="3" t="str">
        <f t="shared" si="0"/>
        <v>【002000 営業第一課　　　　　】（つづき）</v>
      </c>
      <c r="C58" s="3" t="str">
        <f t="shared" si="1"/>
        <v/>
      </c>
      <c r="D58" t="s">
        <v>104</v>
      </c>
    </row>
    <row r="59" spans="1:4" x14ac:dyDescent="0.7">
      <c r="A59" s="3">
        <f t="shared" si="2"/>
        <v>59</v>
      </c>
      <c r="B59" s="3" t="str">
        <f t="shared" si="0"/>
        <v>【002000 営業第一課　　　　　】（つづき）</v>
      </c>
      <c r="C59" s="3" t="str">
        <f t="shared" si="1"/>
        <v/>
      </c>
      <c r="D59" t="s">
        <v>105</v>
      </c>
    </row>
    <row r="60" spans="1:4" x14ac:dyDescent="0.7">
      <c r="A60" s="3">
        <f t="shared" si="2"/>
        <v>60</v>
      </c>
      <c r="B60" s="3" t="str">
        <f t="shared" si="0"/>
        <v>【002000 営業第一課　　　　　】（つづき）</v>
      </c>
      <c r="C60" s="3" t="str">
        <f t="shared" si="1"/>
        <v/>
      </c>
      <c r="D60" t="s">
        <v>106</v>
      </c>
    </row>
    <row r="61" spans="1:4" x14ac:dyDescent="0.7">
      <c r="A61" s="3" t="str">
        <f t="shared" si="2"/>
        <v/>
      </c>
      <c r="B61" s="3" t="str">
        <f t="shared" si="0"/>
        <v>【002000 営業第一課　　　　　】（つづき）</v>
      </c>
      <c r="C61" s="3" t="str">
        <f t="shared" si="1"/>
        <v/>
      </c>
      <c r="D61" t="s">
        <v>69</v>
      </c>
    </row>
    <row r="62" spans="1:4" x14ac:dyDescent="0.7">
      <c r="A62" s="3" t="str">
        <f t="shared" si="2"/>
        <v/>
      </c>
      <c r="B62" s="3" t="str">
        <f t="shared" si="0"/>
        <v>【002000 営業第一課　　　　　】（つづき）</v>
      </c>
      <c r="C62" s="3" t="str">
        <f t="shared" si="1"/>
        <v/>
      </c>
      <c r="D62" t="s">
        <v>107</v>
      </c>
    </row>
    <row r="63" spans="1:4" x14ac:dyDescent="0.7">
      <c r="A63" s="3" t="str">
        <f t="shared" si="2"/>
        <v/>
      </c>
      <c r="B63" s="3" t="str">
        <f t="shared" si="0"/>
        <v>【002000 営業第一課　　　　　】（つづき）</v>
      </c>
      <c r="C63" s="3" t="str">
        <f t="shared" si="1"/>
        <v/>
      </c>
      <c r="D63" t="s">
        <v>69</v>
      </c>
    </row>
    <row r="64" spans="1:4" x14ac:dyDescent="0.7">
      <c r="A64" s="3" t="str">
        <f t="shared" si="2"/>
        <v/>
      </c>
      <c r="B64" s="3" t="str">
        <f t="shared" si="0"/>
        <v>【003000 営業第二課　　　　　】</v>
      </c>
      <c r="C64" s="3" t="str">
        <f t="shared" si="1"/>
        <v>【003000 営業第二課　　　　　】</v>
      </c>
      <c r="D64" t="s">
        <v>108</v>
      </c>
    </row>
    <row r="65" spans="1:4" x14ac:dyDescent="0.7">
      <c r="A65" s="3">
        <f t="shared" si="2"/>
        <v>65</v>
      </c>
      <c r="B65" s="3" t="str">
        <f t="shared" si="0"/>
        <v>【003000 営業第二課　　　　　】</v>
      </c>
      <c r="C65" s="3" t="str">
        <f t="shared" si="1"/>
        <v/>
      </c>
      <c r="D65" t="s">
        <v>109</v>
      </c>
    </row>
    <row r="66" spans="1:4" x14ac:dyDescent="0.7">
      <c r="A66" s="3">
        <f t="shared" si="2"/>
        <v>66</v>
      </c>
      <c r="B66" s="3" t="str">
        <f t="shared" si="0"/>
        <v>【003000 営業第二課　　　　　】</v>
      </c>
      <c r="C66" s="3" t="str">
        <f t="shared" si="1"/>
        <v/>
      </c>
      <c r="D66" t="s">
        <v>110</v>
      </c>
    </row>
    <row r="67" spans="1:4" x14ac:dyDescent="0.7">
      <c r="A67" s="3">
        <f t="shared" si="2"/>
        <v>67</v>
      </c>
      <c r="B67" s="3" t="str">
        <f t="shared" ref="B67:B79" si="3">IF(C67&lt;&gt;"",C67,B66)</f>
        <v>【003000 営業第二課　　　　　】</v>
      </c>
      <c r="C67" s="3" t="str">
        <f t="shared" si="1"/>
        <v/>
      </c>
      <c r="D67" t="s">
        <v>111</v>
      </c>
    </row>
    <row r="68" spans="1:4" x14ac:dyDescent="0.7">
      <c r="A68" s="3">
        <f t="shared" si="2"/>
        <v>68</v>
      </c>
      <c r="B68" s="3" t="str">
        <f t="shared" si="3"/>
        <v>【003000 営業第二課　　　　　】</v>
      </c>
      <c r="C68" s="3" t="str">
        <f t="shared" si="1"/>
        <v/>
      </c>
      <c r="D68" t="s">
        <v>112</v>
      </c>
    </row>
    <row r="69" spans="1:4" x14ac:dyDescent="0.7">
      <c r="A69" s="3">
        <f t="shared" si="2"/>
        <v>69</v>
      </c>
      <c r="B69" s="3" t="str">
        <f t="shared" si="3"/>
        <v>【003000 営業第二課　　　　　】</v>
      </c>
      <c r="C69" s="3" t="str">
        <f t="shared" si="1"/>
        <v/>
      </c>
      <c r="D69" t="s">
        <v>113</v>
      </c>
    </row>
    <row r="70" spans="1:4" x14ac:dyDescent="0.7">
      <c r="A70" s="3" t="str">
        <f t="shared" si="2"/>
        <v/>
      </c>
      <c r="B70" s="3" t="str">
        <f t="shared" si="3"/>
        <v>【003000 営業第二課　　　　　】</v>
      </c>
      <c r="C70" s="3" t="str">
        <f t="shared" si="1"/>
        <v/>
      </c>
      <c r="D70" t="s">
        <v>69</v>
      </c>
    </row>
    <row r="71" spans="1:4" x14ac:dyDescent="0.7">
      <c r="A71" s="3" t="str">
        <f t="shared" si="2"/>
        <v/>
      </c>
      <c r="B71" s="3" t="str">
        <f t="shared" si="3"/>
        <v>【003000 営業第二課　　　　　】</v>
      </c>
      <c r="C71" s="3" t="str">
        <f t="shared" ref="C71:C134" si="4">IF(MIDB(D71,1,2)="【",D71,"")</f>
        <v/>
      </c>
      <c r="D71" t="s">
        <v>114</v>
      </c>
    </row>
    <row r="72" spans="1:4" x14ac:dyDescent="0.7">
      <c r="A72" s="3" t="str">
        <f t="shared" si="2"/>
        <v/>
      </c>
      <c r="B72" s="3" t="str">
        <f t="shared" si="3"/>
        <v>【003000 営業第二課　　　　　】</v>
      </c>
      <c r="C72" s="3" t="str">
        <f t="shared" si="4"/>
        <v/>
      </c>
    </row>
    <row r="73" spans="1:4" x14ac:dyDescent="0.7">
      <c r="A73" s="3" t="str">
        <f t="shared" ref="A73:A79" si="5">IF(MIDB(D73,4,1)="-",ROW(D73),"")</f>
        <v/>
      </c>
      <c r="B73" s="3" t="str">
        <f t="shared" si="3"/>
        <v>【003000 営業第二課　　　　　】</v>
      </c>
      <c r="C73" s="3" t="str">
        <f t="shared" si="4"/>
        <v/>
      </c>
      <c r="D73" t="s">
        <v>0</v>
      </c>
    </row>
    <row r="74" spans="1:4" x14ac:dyDescent="0.7">
      <c r="A74" s="3" t="str">
        <f t="shared" si="5"/>
        <v/>
      </c>
      <c r="B74" s="3" t="str">
        <f t="shared" si="3"/>
        <v>【003000 営業第二課　　　　　】</v>
      </c>
      <c r="C74" s="3" t="str">
        <f t="shared" si="4"/>
        <v/>
      </c>
      <c r="D74" t="s">
        <v>115</v>
      </c>
    </row>
    <row r="75" spans="1:4" x14ac:dyDescent="0.7">
      <c r="A75" s="3" t="str">
        <f t="shared" si="5"/>
        <v/>
      </c>
      <c r="B75" s="3" t="str">
        <f t="shared" si="3"/>
        <v>【003000 営業第二課　　　　　】</v>
      </c>
      <c r="C75" s="3" t="str">
        <f t="shared" si="4"/>
        <v/>
      </c>
      <c r="D75" t="s">
        <v>0</v>
      </c>
    </row>
    <row r="76" spans="1:4" x14ac:dyDescent="0.7">
      <c r="A76" s="3" t="str">
        <f t="shared" si="5"/>
        <v/>
      </c>
      <c r="B76" s="3" t="str">
        <f t="shared" si="3"/>
        <v>【003000 営業第二課　　　　　】</v>
      </c>
      <c r="C76" s="3" t="str">
        <f t="shared" si="4"/>
        <v/>
      </c>
      <c r="D76" t="s">
        <v>68</v>
      </c>
    </row>
    <row r="77" spans="1:4" x14ac:dyDescent="0.7">
      <c r="A77" s="3" t="str">
        <f t="shared" si="5"/>
        <v/>
      </c>
      <c r="B77" s="3" t="str">
        <f t="shared" si="3"/>
        <v>【003000 営業第二課　　　　　】</v>
      </c>
      <c r="C77" s="3" t="str">
        <f t="shared" si="4"/>
        <v/>
      </c>
      <c r="D77" t="s">
        <v>69</v>
      </c>
    </row>
    <row r="78" spans="1:4" x14ac:dyDescent="0.7">
      <c r="A78" s="3" t="str">
        <f t="shared" si="5"/>
        <v/>
      </c>
      <c r="B78" s="3" t="str">
        <f t="shared" si="3"/>
        <v>【003000 営業第二課　　　　　】（つづき）</v>
      </c>
      <c r="C78" s="3" t="str">
        <f t="shared" si="4"/>
        <v>【003000 営業第二課　　　　　】（つづき）</v>
      </c>
      <c r="D78" t="s">
        <v>116</v>
      </c>
    </row>
    <row r="79" spans="1:4" x14ac:dyDescent="0.7">
      <c r="A79" s="3">
        <f t="shared" si="5"/>
        <v>79</v>
      </c>
      <c r="B79" s="3" t="str">
        <f t="shared" si="3"/>
        <v>【003000 営業第二課　　　　　】（つづき）</v>
      </c>
      <c r="C79" s="3" t="str">
        <f t="shared" si="4"/>
        <v/>
      </c>
      <c r="D79" t="s">
        <v>117</v>
      </c>
    </row>
    <row r="80" spans="1:4" x14ac:dyDescent="0.7">
      <c r="A80" s="3">
        <f t="shared" ref="A80:A143" si="6">IF(MIDB(D80,4,1)="-",ROW(D80),"")</f>
        <v>80</v>
      </c>
      <c r="B80" s="3" t="str">
        <f t="shared" ref="B80:B143" si="7">IF(C80&lt;&gt;"",C80,B79)</f>
        <v>【003000 営業第二課　　　　　】（つづき）</v>
      </c>
      <c r="C80" s="3" t="str">
        <f t="shared" si="4"/>
        <v/>
      </c>
      <c r="D80" t="s">
        <v>118</v>
      </c>
    </row>
    <row r="81" spans="1:4" x14ac:dyDescent="0.7">
      <c r="A81" s="3">
        <f t="shared" si="6"/>
        <v>81</v>
      </c>
      <c r="B81" s="3" t="str">
        <f t="shared" si="7"/>
        <v>【003000 営業第二課　　　　　】（つづき）</v>
      </c>
      <c r="C81" s="3" t="str">
        <f t="shared" si="4"/>
        <v/>
      </c>
      <c r="D81" t="s">
        <v>119</v>
      </c>
    </row>
    <row r="82" spans="1:4" x14ac:dyDescent="0.7">
      <c r="A82" s="3">
        <f t="shared" si="6"/>
        <v>82</v>
      </c>
      <c r="B82" s="3" t="str">
        <f t="shared" si="7"/>
        <v>【003000 営業第二課　　　　　】（つづき）</v>
      </c>
      <c r="C82" s="3" t="str">
        <f t="shared" si="4"/>
        <v/>
      </c>
      <c r="D82" t="s">
        <v>120</v>
      </c>
    </row>
    <row r="83" spans="1:4" x14ac:dyDescent="0.7">
      <c r="A83" s="3">
        <f t="shared" si="6"/>
        <v>83</v>
      </c>
      <c r="B83" s="3" t="str">
        <f t="shared" si="7"/>
        <v>【003000 営業第二課　　　　　】（つづき）</v>
      </c>
      <c r="C83" s="3" t="str">
        <f t="shared" si="4"/>
        <v/>
      </c>
      <c r="D83" t="s">
        <v>121</v>
      </c>
    </row>
    <row r="84" spans="1:4" x14ac:dyDescent="0.7">
      <c r="A84" s="3">
        <f t="shared" si="6"/>
        <v>84</v>
      </c>
      <c r="B84" s="3" t="str">
        <f t="shared" si="7"/>
        <v>【003000 営業第二課　　　　　】（つづき）</v>
      </c>
      <c r="C84" s="3" t="str">
        <f t="shared" si="4"/>
        <v/>
      </c>
      <c r="D84" t="s">
        <v>122</v>
      </c>
    </row>
    <row r="85" spans="1:4" x14ac:dyDescent="0.7">
      <c r="A85" s="3" t="str">
        <f t="shared" si="6"/>
        <v/>
      </c>
      <c r="B85" s="3" t="str">
        <f t="shared" si="7"/>
        <v>【003000 営業第二課　　　　　】（つづき）</v>
      </c>
      <c r="C85" s="3" t="str">
        <f t="shared" si="4"/>
        <v/>
      </c>
      <c r="D85" t="s">
        <v>69</v>
      </c>
    </row>
    <row r="86" spans="1:4" x14ac:dyDescent="0.7">
      <c r="A86" s="3" t="str">
        <f t="shared" si="6"/>
        <v/>
      </c>
      <c r="B86" s="3" t="str">
        <f t="shared" si="7"/>
        <v>【003000 営業第二課　　　　　】（つづき）</v>
      </c>
      <c r="C86" s="3" t="str">
        <f t="shared" si="4"/>
        <v/>
      </c>
      <c r="D86" t="s">
        <v>123</v>
      </c>
    </row>
    <row r="87" spans="1:4" x14ac:dyDescent="0.7">
      <c r="A87" s="3" t="str">
        <f t="shared" si="6"/>
        <v/>
      </c>
      <c r="B87" s="3" t="str">
        <f t="shared" si="7"/>
        <v>【003000 営業第二課　　　　　】（つづき）</v>
      </c>
      <c r="C87" s="3" t="str">
        <f t="shared" si="4"/>
        <v/>
      </c>
    </row>
    <row r="88" spans="1:4" x14ac:dyDescent="0.7">
      <c r="A88" s="3" t="str">
        <f t="shared" si="6"/>
        <v/>
      </c>
      <c r="B88" s="3" t="str">
        <f t="shared" si="7"/>
        <v>【003000 営業第二課　　　　　】（つづき）</v>
      </c>
      <c r="C88" s="3" t="str">
        <f t="shared" si="4"/>
        <v/>
      </c>
      <c r="D88" t="s">
        <v>0</v>
      </c>
    </row>
    <row r="89" spans="1:4" x14ac:dyDescent="0.7">
      <c r="A89" s="3" t="str">
        <f t="shared" si="6"/>
        <v/>
      </c>
      <c r="B89" s="3" t="str">
        <f t="shared" si="7"/>
        <v>【003000 営業第二課　　　　　】（つづき）</v>
      </c>
      <c r="C89" s="3" t="str">
        <f t="shared" si="4"/>
        <v/>
      </c>
      <c r="D89" t="s">
        <v>124</v>
      </c>
    </row>
    <row r="90" spans="1:4" x14ac:dyDescent="0.7">
      <c r="A90" s="3" t="str">
        <f t="shared" si="6"/>
        <v/>
      </c>
      <c r="B90" s="3" t="str">
        <f t="shared" si="7"/>
        <v>【003000 営業第二課　　　　　】（つづき）</v>
      </c>
      <c r="C90" s="3" t="str">
        <f t="shared" si="4"/>
        <v/>
      </c>
      <c r="D90" t="s">
        <v>0</v>
      </c>
    </row>
    <row r="91" spans="1:4" x14ac:dyDescent="0.7">
      <c r="A91" s="3" t="str">
        <f t="shared" si="6"/>
        <v/>
      </c>
      <c r="B91" s="3" t="str">
        <f t="shared" si="7"/>
        <v>【003000 営業第二課　　　　　】（つづき）</v>
      </c>
      <c r="C91" s="3" t="str">
        <f t="shared" si="4"/>
        <v/>
      </c>
      <c r="D91" t="s">
        <v>68</v>
      </c>
    </row>
    <row r="92" spans="1:4" x14ac:dyDescent="0.7">
      <c r="A92" s="3" t="str">
        <f t="shared" si="6"/>
        <v/>
      </c>
      <c r="B92" s="3" t="str">
        <f t="shared" si="7"/>
        <v>【003000 営業第二課　　　　　】（つづき）</v>
      </c>
      <c r="C92" s="3" t="str">
        <f t="shared" si="4"/>
        <v/>
      </c>
      <c r="D92" t="s">
        <v>69</v>
      </c>
    </row>
    <row r="93" spans="1:4" x14ac:dyDescent="0.7">
      <c r="A93" s="3" t="str">
        <f t="shared" si="6"/>
        <v/>
      </c>
      <c r="B93" s="3" t="str">
        <f t="shared" si="7"/>
        <v>【004000 製造部　　　　　　　】</v>
      </c>
      <c r="C93" s="3" t="str">
        <f t="shared" si="4"/>
        <v>【004000 製造部　　　　　　　】</v>
      </c>
      <c r="D93" t="s">
        <v>125</v>
      </c>
    </row>
    <row r="94" spans="1:4" x14ac:dyDescent="0.7">
      <c r="A94" s="3">
        <f t="shared" si="6"/>
        <v>94</v>
      </c>
      <c r="B94" s="3" t="str">
        <f t="shared" si="7"/>
        <v>【004000 製造部　　　　　　　】</v>
      </c>
      <c r="C94" s="3" t="str">
        <f t="shared" si="4"/>
        <v/>
      </c>
      <c r="D94" t="s">
        <v>126</v>
      </c>
    </row>
    <row r="95" spans="1:4" x14ac:dyDescent="0.7">
      <c r="A95" s="3">
        <f t="shared" si="6"/>
        <v>95</v>
      </c>
      <c r="B95" s="3" t="str">
        <f t="shared" si="7"/>
        <v>【004000 製造部　　　　　　　】</v>
      </c>
      <c r="C95" s="3" t="str">
        <f t="shared" si="4"/>
        <v/>
      </c>
      <c r="D95" t="s">
        <v>127</v>
      </c>
    </row>
    <row r="96" spans="1:4" x14ac:dyDescent="0.7">
      <c r="A96" s="3">
        <f t="shared" si="6"/>
        <v>96</v>
      </c>
      <c r="B96" s="3" t="str">
        <f t="shared" si="7"/>
        <v>【004000 製造部　　　　　　　】</v>
      </c>
      <c r="C96" s="3" t="str">
        <f t="shared" si="4"/>
        <v/>
      </c>
      <c r="D96" t="s">
        <v>128</v>
      </c>
    </row>
    <row r="97" spans="1:4" x14ac:dyDescent="0.7">
      <c r="A97" s="3">
        <f t="shared" si="6"/>
        <v>97</v>
      </c>
      <c r="B97" s="3" t="str">
        <f t="shared" si="7"/>
        <v>【004000 製造部　　　　　　　】</v>
      </c>
      <c r="C97" s="3" t="str">
        <f t="shared" si="4"/>
        <v/>
      </c>
      <c r="D97" t="s">
        <v>129</v>
      </c>
    </row>
    <row r="98" spans="1:4" x14ac:dyDescent="0.7">
      <c r="A98" s="3">
        <f t="shared" si="6"/>
        <v>98</v>
      </c>
      <c r="B98" s="3" t="str">
        <f t="shared" si="7"/>
        <v>【004000 製造部　　　　　　　】</v>
      </c>
      <c r="C98" s="3" t="str">
        <f t="shared" si="4"/>
        <v/>
      </c>
      <c r="D98" t="s">
        <v>130</v>
      </c>
    </row>
    <row r="99" spans="1:4" x14ac:dyDescent="0.7">
      <c r="A99" s="3">
        <f t="shared" si="6"/>
        <v>99</v>
      </c>
      <c r="B99" s="3" t="str">
        <f t="shared" si="7"/>
        <v>【004000 製造部　　　　　　　】</v>
      </c>
      <c r="C99" s="3" t="str">
        <f t="shared" si="4"/>
        <v/>
      </c>
      <c r="D99" t="s">
        <v>131</v>
      </c>
    </row>
    <row r="100" spans="1:4" x14ac:dyDescent="0.7">
      <c r="A100" s="3">
        <f t="shared" si="6"/>
        <v>100</v>
      </c>
      <c r="B100" s="3" t="str">
        <f t="shared" si="7"/>
        <v>【004000 製造部　　　　　　　】</v>
      </c>
      <c r="C100" s="3" t="str">
        <f t="shared" si="4"/>
        <v/>
      </c>
      <c r="D100" t="s">
        <v>132</v>
      </c>
    </row>
    <row r="101" spans="1:4" x14ac:dyDescent="0.7">
      <c r="A101" s="3">
        <f t="shared" si="6"/>
        <v>101</v>
      </c>
      <c r="B101" s="3" t="str">
        <f t="shared" si="7"/>
        <v>【004000 製造部　　　　　　　】</v>
      </c>
      <c r="C101" s="3" t="str">
        <f t="shared" si="4"/>
        <v/>
      </c>
      <c r="D101" t="s">
        <v>133</v>
      </c>
    </row>
    <row r="102" spans="1:4" x14ac:dyDescent="0.7">
      <c r="A102" s="3">
        <f t="shared" si="6"/>
        <v>102</v>
      </c>
      <c r="B102" s="3" t="str">
        <f t="shared" si="7"/>
        <v>【004000 製造部　　　　　　　】</v>
      </c>
      <c r="C102" s="3" t="str">
        <f t="shared" si="4"/>
        <v/>
      </c>
      <c r="D102" t="s">
        <v>134</v>
      </c>
    </row>
    <row r="103" spans="1:4" x14ac:dyDescent="0.7">
      <c r="A103" s="3" t="str">
        <f t="shared" si="6"/>
        <v/>
      </c>
      <c r="B103" s="3" t="str">
        <f t="shared" si="7"/>
        <v>【004000 製造部　　　　　　　】</v>
      </c>
      <c r="C103" s="3" t="str">
        <f t="shared" si="4"/>
        <v/>
      </c>
      <c r="D103" t="s">
        <v>69</v>
      </c>
    </row>
    <row r="104" spans="1:4" x14ac:dyDescent="0.7">
      <c r="A104" s="3" t="str">
        <f t="shared" si="6"/>
        <v/>
      </c>
      <c r="B104" s="3" t="str">
        <f t="shared" si="7"/>
        <v>【004000 製造部　　　　　　　】</v>
      </c>
      <c r="C104" s="3" t="str">
        <f t="shared" si="4"/>
        <v/>
      </c>
      <c r="D104" t="s">
        <v>135</v>
      </c>
    </row>
    <row r="105" spans="1:4" x14ac:dyDescent="0.7">
      <c r="A105" s="3" t="str">
        <f t="shared" si="6"/>
        <v/>
      </c>
      <c r="B105" s="3" t="str">
        <f t="shared" si="7"/>
        <v>【004000 製造部　　　　　　　】</v>
      </c>
      <c r="C105" s="3" t="str">
        <f t="shared" si="4"/>
        <v/>
      </c>
    </row>
    <row r="106" spans="1:4" x14ac:dyDescent="0.7">
      <c r="A106" s="3" t="str">
        <f t="shared" si="6"/>
        <v/>
      </c>
      <c r="B106" s="3" t="str">
        <f t="shared" si="7"/>
        <v>【004000 製造部　　　　　　　】</v>
      </c>
      <c r="C106" s="3" t="str">
        <f t="shared" si="4"/>
        <v/>
      </c>
      <c r="D106" t="s">
        <v>0</v>
      </c>
    </row>
    <row r="107" spans="1:4" x14ac:dyDescent="0.7">
      <c r="A107" s="3" t="str">
        <f t="shared" si="6"/>
        <v/>
      </c>
      <c r="B107" s="3" t="str">
        <f t="shared" si="7"/>
        <v>【004000 製造部　　　　　　　】</v>
      </c>
      <c r="C107" s="3" t="str">
        <f t="shared" si="4"/>
        <v/>
      </c>
      <c r="D107" t="s">
        <v>136</v>
      </c>
    </row>
    <row r="108" spans="1:4" x14ac:dyDescent="0.7">
      <c r="A108" s="3" t="str">
        <f t="shared" si="6"/>
        <v/>
      </c>
      <c r="B108" s="3" t="str">
        <f t="shared" si="7"/>
        <v>【004000 製造部　　　　　　　】</v>
      </c>
      <c r="C108" s="3" t="str">
        <f t="shared" si="4"/>
        <v/>
      </c>
      <c r="D108" t="s">
        <v>0</v>
      </c>
    </row>
    <row r="109" spans="1:4" x14ac:dyDescent="0.7">
      <c r="A109" s="3" t="str">
        <f t="shared" si="6"/>
        <v/>
      </c>
      <c r="B109" s="3" t="str">
        <f t="shared" si="7"/>
        <v>【004000 製造部　　　　　　　】</v>
      </c>
      <c r="C109" s="3" t="str">
        <f t="shared" si="4"/>
        <v/>
      </c>
      <c r="D109" t="s">
        <v>68</v>
      </c>
    </row>
    <row r="110" spans="1:4" x14ac:dyDescent="0.7">
      <c r="A110" s="3" t="str">
        <f t="shared" si="6"/>
        <v/>
      </c>
      <c r="B110" s="3" t="str">
        <f t="shared" si="7"/>
        <v>【004000 製造部　　　　　　　】</v>
      </c>
      <c r="C110" s="3" t="str">
        <f t="shared" si="4"/>
        <v/>
      </c>
      <c r="D110" t="s">
        <v>69</v>
      </c>
    </row>
    <row r="111" spans="1:4" x14ac:dyDescent="0.7">
      <c r="A111" s="3" t="str">
        <f t="shared" si="6"/>
        <v/>
      </c>
      <c r="B111" s="3" t="str">
        <f t="shared" si="7"/>
        <v>【004000 製造部　　　　　　　】（つづき）</v>
      </c>
      <c r="C111" s="3" t="str">
        <f t="shared" si="4"/>
        <v>【004000 製造部　　　　　　　】（つづき）</v>
      </c>
      <c r="D111" t="s">
        <v>137</v>
      </c>
    </row>
    <row r="112" spans="1:4" x14ac:dyDescent="0.7">
      <c r="A112" s="3">
        <f t="shared" si="6"/>
        <v>112</v>
      </c>
      <c r="B112" s="3" t="str">
        <f t="shared" si="7"/>
        <v>【004000 製造部　　　　　　　】（つづき）</v>
      </c>
      <c r="C112" s="3" t="str">
        <f t="shared" si="4"/>
        <v/>
      </c>
      <c r="D112" t="s">
        <v>138</v>
      </c>
    </row>
    <row r="113" spans="1:4" x14ac:dyDescent="0.7">
      <c r="A113" s="3">
        <f t="shared" si="6"/>
        <v>113</v>
      </c>
      <c r="B113" s="3" t="str">
        <f t="shared" si="7"/>
        <v>【004000 製造部　　　　　　　】（つづき）</v>
      </c>
      <c r="C113" s="3" t="str">
        <f t="shared" si="4"/>
        <v/>
      </c>
      <c r="D113" t="s">
        <v>139</v>
      </c>
    </row>
    <row r="114" spans="1:4" x14ac:dyDescent="0.7">
      <c r="A114" s="3">
        <f t="shared" si="6"/>
        <v>114</v>
      </c>
      <c r="B114" s="3" t="str">
        <f t="shared" si="7"/>
        <v>【004000 製造部　　　　　　　】（つづき）</v>
      </c>
      <c r="C114" s="3" t="str">
        <f t="shared" si="4"/>
        <v/>
      </c>
      <c r="D114" t="s">
        <v>140</v>
      </c>
    </row>
    <row r="115" spans="1:4" x14ac:dyDescent="0.7">
      <c r="A115" s="3">
        <f t="shared" si="6"/>
        <v>115</v>
      </c>
      <c r="B115" s="3" t="str">
        <f t="shared" si="7"/>
        <v>【004000 製造部　　　　　　　】（つづき）</v>
      </c>
      <c r="C115" s="3" t="str">
        <f t="shared" si="4"/>
        <v/>
      </c>
      <c r="D115" t="s">
        <v>141</v>
      </c>
    </row>
    <row r="116" spans="1:4" x14ac:dyDescent="0.7">
      <c r="A116" s="3">
        <f t="shared" si="6"/>
        <v>116</v>
      </c>
      <c r="B116" s="3" t="str">
        <f t="shared" si="7"/>
        <v>【004000 製造部　　　　　　　】（つづき）</v>
      </c>
      <c r="C116" s="3" t="str">
        <f t="shared" si="4"/>
        <v/>
      </c>
      <c r="D116" t="s">
        <v>142</v>
      </c>
    </row>
    <row r="117" spans="1:4" x14ac:dyDescent="0.7">
      <c r="A117" s="3">
        <f t="shared" si="6"/>
        <v>117</v>
      </c>
      <c r="B117" s="3" t="str">
        <f t="shared" si="7"/>
        <v>【004000 製造部　　　　　　　】（つづき）</v>
      </c>
      <c r="C117" s="3" t="str">
        <f t="shared" si="4"/>
        <v/>
      </c>
      <c r="D117" t="s">
        <v>143</v>
      </c>
    </row>
    <row r="118" spans="1:4" x14ac:dyDescent="0.7">
      <c r="A118" s="3">
        <f t="shared" si="6"/>
        <v>118</v>
      </c>
      <c r="B118" s="3" t="str">
        <f t="shared" si="7"/>
        <v>【004000 製造部　　　　　　　】（つづき）</v>
      </c>
      <c r="C118" s="3" t="str">
        <f t="shared" si="4"/>
        <v/>
      </c>
      <c r="D118" t="s">
        <v>144</v>
      </c>
    </row>
    <row r="119" spans="1:4" x14ac:dyDescent="0.7">
      <c r="A119" s="3">
        <f t="shared" si="6"/>
        <v>119</v>
      </c>
      <c r="B119" s="3" t="str">
        <f t="shared" si="7"/>
        <v>【004000 製造部　　　　　　　】（つづき）</v>
      </c>
      <c r="C119" s="3" t="str">
        <f t="shared" si="4"/>
        <v/>
      </c>
      <c r="D119" t="s">
        <v>145</v>
      </c>
    </row>
    <row r="120" spans="1:4" x14ac:dyDescent="0.7">
      <c r="A120" s="3" t="str">
        <f t="shared" si="6"/>
        <v/>
      </c>
      <c r="B120" s="3" t="str">
        <f t="shared" si="7"/>
        <v>【004000 製造部　　　　　　　】（つづき）</v>
      </c>
      <c r="C120" s="3" t="str">
        <f t="shared" si="4"/>
        <v/>
      </c>
      <c r="D120" t="s">
        <v>69</v>
      </c>
    </row>
    <row r="121" spans="1:4" x14ac:dyDescent="0.7">
      <c r="A121" s="3" t="str">
        <f t="shared" si="6"/>
        <v/>
      </c>
      <c r="B121" s="3" t="str">
        <f t="shared" si="7"/>
        <v>【004000 製造部　　　　　　　】（つづき）</v>
      </c>
      <c r="C121" s="3" t="str">
        <f t="shared" si="4"/>
        <v/>
      </c>
      <c r="D121" t="s">
        <v>146</v>
      </c>
    </row>
    <row r="122" spans="1:4" x14ac:dyDescent="0.7">
      <c r="A122" s="3" t="str">
        <f t="shared" si="6"/>
        <v/>
      </c>
      <c r="B122" s="3" t="str">
        <f t="shared" si="7"/>
        <v>【004000 製造部　　　　　　　】（つづき）</v>
      </c>
      <c r="C122" s="3" t="str">
        <f t="shared" si="4"/>
        <v/>
      </c>
    </row>
    <row r="123" spans="1:4" x14ac:dyDescent="0.7">
      <c r="A123" s="3" t="str">
        <f t="shared" si="6"/>
        <v/>
      </c>
      <c r="B123" s="3" t="str">
        <f t="shared" si="7"/>
        <v>【004000 製造部　　　　　　　】（つづき）</v>
      </c>
      <c r="C123" s="3" t="str">
        <f t="shared" si="4"/>
        <v/>
      </c>
      <c r="D123" t="s">
        <v>0</v>
      </c>
    </row>
    <row r="124" spans="1:4" x14ac:dyDescent="0.7">
      <c r="A124" s="3" t="str">
        <f t="shared" si="6"/>
        <v/>
      </c>
      <c r="B124" s="3" t="str">
        <f t="shared" si="7"/>
        <v>【004000 製造部　　　　　　　】（つづき）</v>
      </c>
      <c r="C124" s="3" t="str">
        <f t="shared" si="4"/>
        <v/>
      </c>
      <c r="D124" t="s">
        <v>147</v>
      </c>
    </row>
    <row r="125" spans="1:4" x14ac:dyDescent="0.7">
      <c r="A125" s="3" t="str">
        <f t="shared" si="6"/>
        <v/>
      </c>
      <c r="B125" s="3" t="str">
        <f t="shared" si="7"/>
        <v>【004000 製造部　　　　　　　】（つづき）</v>
      </c>
      <c r="C125" s="3" t="str">
        <f t="shared" si="4"/>
        <v/>
      </c>
      <c r="D125" t="s">
        <v>0</v>
      </c>
    </row>
    <row r="126" spans="1:4" x14ac:dyDescent="0.7">
      <c r="A126" s="3" t="str">
        <f t="shared" si="6"/>
        <v/>
      </c>
      <c r="B126" s="3" t="str">
        <f t="shared" si="7"/>
        <v>【004000 製造部　　　　　　　】（つづき）</v>
      </c>
      <c r="C126" s="3" t="str">
        <f t="shared" si="4"/>
        <v/>
      </c>
      <c r="D126" t="s">
        <v>68</v>
      </c>
    </row>
    <row r="127" spans="1:4" x14ac:dyDescent="0.7">
      <c r="A127" s="3" t="str">
        <f t="shared" si="6"/>
        <v/>
      </c>
      <c r="B127" s="3" t="str">
        <f t="shared" si="7"/>
        <v>【004000 製造部　　　　　　　】（つづき）</v>
      </c>
      <c r="C127" s="3" t="str">
        <f t="shared" si="4"/>
        <v/>
      </c>
      <c r="D127" t="s">
        <v>69</v>
      </c>
    </row>
    <row r="128" spans="1:4" x14ac:dyDescent="0.7">
      <c r="A128" s="3" t="str">
        <f t="shared" si="6"/>
        <v/>
      </c>
      <c r="B128" s="3" t="str">
        <f t="shared" si="7"/>
        <v>【005000 経理部　　　　　　　】</v>
      </c>
      <c r="C128" s="3" t="str">
        <f t="shared" si="4"/>
        <v>【005000 経理部　　　　　　　】</v>
      </c>
      <c r="D128" t="s">
        <v>148</v>
      </c>
    </row>
    <row r="129" spans="1:4" x14ac:dyDescent="0.7">
      <c r="A129" s="3">
        <f t="shared" si="6"/>
        <v>129</v>
      </c>
      <c r="B129" s="3" t="str">
        <f t="shared" si="7"/>
        <v>【005000 経理部　　　　　　　】</v>
      </c>
      <c r="C129" s="3" t="str">
        <f t="shared" si="4"/>
        <v/>
      </c>
      <c r="D129" t="s">
        <v>149</v>
      </c>
    </row>
    <row r="130" spans="1:4" x14ac:dyDescent="0.7">
      <c r="A130" s="3">
        <f t="shared" si="6"/>
        <v>130</v>
      </c>
      <c r="B130" s="3" t="str">
        <f t="shared" si="7"/>
        <v>【005000 経理部　　　　　　　】</v>
      </c>
      <c r="C130" s="3" t="str">
        <f t="shared" si="4"/>
        <v/>
      </c>
      <c r="D130" t="s">
        <v>150</v>
      </c>
    </row>
    <row r="131" spans="1:4" x14ac:dyDescent="0.7">
      <c r="A131" s="3">
        <f t="shared" si="6"/>
        <v>131</v>
      </c>
      <c r="B131" s="3" t="str">
        <f t="shared" si="7"/>
        <v>【005000 経理部　　　　　　　】</v>
      </c>
      <c r="C131" s="3" t="str">
        <f t="shared" si="4"/>
        <v/>
      </c>
      <c r="D131" t="s">
        <v>151</v>
      </c>
    </row>
    <row r="132" spans="1:4" x14ac:dyDescent="0.7">
      <c r="A132" s="3">
        <f t="shared" si="6"/>
        <v>132</v>
      </c>
      <c r="B132" s="3" t="str">
        <f t="shared" si="7"/>
        <v>【005000 経理部　　　　　　　】</v>
      </c>
      <c r="C132" s="3" t="str">
        <f t="shared" si="4"/>
        <v/>
      </c>
      <c r="D132" t="s">
        <v>152</v>
      </c>
    </row>
    <row r="133" spans="1:4" x14ac:dyDescent="0.7">
      <c r="A133" s="3">
        <f t="shared" si="6"/>
        <v>133</v>
      </c>
      <c r="B133" s="3" t="str">
        <f t="shared" si="7"/>
        <v>【005000 経理部　　　　　　　】</v>
      </c>
      <c r="C133" s="3" t="str">
        <f t="shared" si="4"/>
        <v/>
      </c>
      <c r="D133" t="s">
        <v>153</v>
      </c>
    </row>
    <row r="134" spans="1:4" x14ac:dyDescent="0.7">
      <c r="A134" s="3">
        <f t="shared" si="6"/>
        <v>134</v>
      </c>
      <c r="B134" s="3" t="str">
        <f t="shared" si="7"/>
        <v>【005000 経理部　　　　　　　】</v>
      </c>
      <c r="C134" s="3" t="str">
        <f t="shared" si="4"/>
        <v/>
      </c>
      <c r="D134" t="s">
        <v>154</v>
      </c>
    </row>
    <row r="135" spans="1:4" x14ac:dyDescent="0.7">
      <c r="A135" s="3">
        <f t="shared" si="6"/>
        <v>135</v>
      </c>
      <c r="B135" s="3" t="str">
        <f t="shared" si="7"/>
        <v>【005000 経理部　　　　　　　】</v>
      </c>
      <c r="C135" s="3" t="str">
        <f t="shared" ref="C135:C159" si="8">IF(MIDB(D135,1,2)="【",D135,"")</f>
        <v/>
      </c>
      <c r="D135" t="s">
        <v>155</v>
      </c>
    </row>
    <row r="136" spans="1:4" x14ac:dyDescent="0.7">
      <c r="A136" s="3">
        <f t="shared" si="6"/>
        <v>136</v>
      </c>
      <c r="B136" s="3" t="str">
        <f t="shared" si="7"/>
        <v>【005000 経理部　　　　　　　】</v>
      </c>
      <c r="C136" s="3" t="str">
        <f t="shared" si="8"/>
        <v/>
      </c>
      <c r="D136" t="s">
        <v>156</v>
      </c>
    </row>
    <row r="137" spans="1:4" x14ac:dyDescent="0.7">
      <c r="A137" s="3" t="str">
        <f t="shared" si="6"/>
        <v/>
      </c>
      <c r="B137" s="3" t="str">
        <f t="shared" si="7"/>
        <v>【005000 経理部　　　　　　　】</v>
      </c>
      <c r="C137" s="3" t="str">
        <f t="shared" si="8"/>
        <v/>
      </c>
      <c r="D137" t="s">
        <v>69</v>
      </c>
    </row>
    <row r="138" spans="1:4" x14ac:dyDescent="0.7">
      <c r="A138" s="3" t="str">
        <f t="shared" si="6"/>
        <v/>
      </c>
      <c r="B138" s="3" t="str">
        <f t="shared" si="7"/>
        <v>【005000 経理部　　　　　　　】</v>
      </c>
      <c r="C138" s="3" t="str">
        <f t="shared" si="8"/>
        <v/>
      </c>
      <c r="D138" t="s">
        <v>157</v>
      </c>
    </row>
    <row r="139" spans="1:4" x14ac:dyDescent="0.7">
      <c r="A139" s="3" t="str">
        <f t="shared" si="6"/>
        <v/>
      </c>
      <c r="B139" s="3" t="str">
        <f t="shared" si="7"/>
        <v>【005000 経理部　　　　　　　】</v>
      </c>
      <c r="C139" s="3" t="str">
        <f t="shared" si="8"/>
        <v/>
      </c>
    </row>
    <row r="140" spans="1:4" x14ac:dyDescent="0.7">
      <c r="A140" s="3" t="str">
        <f t="shared" si="6"/>
        <v/>
      </c>
      <c r="B140" s="3" t="str">
        <f t="shared" si="7"/>
        <v>【005000 経理部　　　　　　　】</v>
      </c>
      <c r="C140" s="3" t="str">
        <f t="shared" si="8"/>
        <v/>
      </c>
      <c r="D140" t="s">
        <v>0</v>
      </c>
    </row>
    <row r="141" spans="1:4" x14ac:dyDescent="0.7">
      <c r="A141" s="3" t="str">
        <f t="shared" si="6"/>
        <v/>
      </c>
      <c r="B141" s="3" t="str">
        <f t="shared" si="7"/>
        <v>【005000 経理部　　　　　　　】</v>
      </c>
      <c r="C141" s="3" t="str">
        <f t="shared" si="8"/>
        <v/>
      </c>
      <c r="D141" t="s">
        <v>158</v>
      </c>
    </row>
    <row r="142" spans="1:4" x14ac:dyDescent="0.7">
      <c r="A142" s="3" t="str">
        <f t="shared" si="6"/>
        <v/>
      </c>
      <c r="B142" s="3" t="str">
        <f t="shared" si="7"/>
        <v>【005000 経理部　　　　　　　】</v>
      </c>
      <c r="C142" s="3" t="str">
        <f t="shared" si="8"/>
        <v/>
      </c>
      <c r="D142" t="s">
        <v>0</v>
      </c>
    </row>
    <row r="143" spans="1:4" x14ac:dyDescent="0.7">
      <c r="A143" s="3" t="str">
        <f t="shared" si="6"/>
        <v/>
      </c>
      <c r="B143" s="3" t="str">
        <f t="shared" si="7"/>
        <v>【005000 経理部　　　　　　　】</v>
      </c>
      <c r="C143" s="3" t="str">
        <f t="shared" si="8"/>
        <v/>
      </c>
      <c r="D143" t="s">
        <v>68</v>
      </c>
    </row>
    <row r="144" spans="1:4" x14ac:dyDescent="0.7">
      <c r="A144" s="3" t="str">
        <f t="shared" ref="A144:A159" si="9">IF(MIDB(D144,4,1)="-",ROW(D144),"")</f>
        <v/>
      </c>
      <c r="B144" s="3" t="str">
        <f t="shared" ref="B144:B159" si="10">IF(C144&lt;&gt;"",C144,B143)</f>
        <v>【005000 経理部　　　　　　　】</v>
      </c>
      <c r="C144" s="3" t="str">
        <f t="shared" si="8"/>
        <v/>
      </c>
      <c r="D144" t="s">
        <v>69</v>
      </c>
    </row>
    <row r="145" spans="1:4" x14ac:dyDescent="0.7">
      <c r="A145" s="3" t="str">
        <f t="shared" si="9"/>
        <v/>
      </c>
      <c r="B145" s="3" t="str">
        <f t="shared" si="10"/>
        <v>【005000 経理部　　　　　　　】（つづき）</v>
      </c>
      <c r="C145" s="3" t="str">
        <f t="shared" si="8"/>
        <v>【005000 経理部　　　　　　　】（つづき）</v>
      </c>
      <c r="D145" t="s">
        <v>159</v>
      </c>
    </row>
    <row r="146" spans="1:4" x14ac:dyDescent="0.7">
      <c r="A146" s="3">
        <f t="shared" si="9"/>
        <v>146</v>
      </c>
      <c r="B146" s="3" t="str">
        <f t="shared" si="10"/>
        <v>【005000 経理部　　　　　　　】（つづき）</v>
      </c>
      <c r="C146" s="3" t="str">
        <f t="shared" si="8"/>
        <v/>
      </c>
      <c r="D146" t="s">
        <v>160</v>
      </c>
    </row>
    <row r="147" spans="1:4" x14ac:dyDescent="0.7">
      <c r="A147" s="3">
        <f t="shared" si="9"/>
        <v>147</v>
      </c>
      <c r="B147" s="3" t="str">
        <f t="shared" si="10"/>
        <v>【005000 経理部　　　　　　　】（つづき）</v>
      </c>
      <c r="C147" s="3" t="str">
        <f t="shared" si="8"/>
        <v/>
      </c>
      <c r="D147" t="s">
        <v>161</v>
      </c>
    </row>
    <row r="148" spans="1:4" x14ac:dyDescent="0.7">
      <c r="A148" s="3">
        <f t="shared" si="9"/>
        <v>148</v>
      </c>
      <c r="B148" s="3" t="str">
        <f t="shared" si="10"/>
        <v>【005000 経理部　　　　　　　】（つづき）</v>
      </c>
      <c r="C148" s="3" t="str">
        <f t="shared" si="8"/>
        <v/>
      </c>
      <c r="D148" t="s">
        <v>162</v>
      </c>
    </row>
    <row r="149" spans="1:4" x14ac:dyDescent="0.7">
      <c r="A149" s="3">
        <f t="shared" si="9"/>
        <v>149</v>
      </c>
      <c r="B149" s="3" t="str">
        <f t="shared" si="10"/>
        <v>【005000 経理部　　　　　　　】（つづき）</v>
      </c>
      <c r="C149" s="3" t="str">
        <f t="shared" si="8"/>
        <v/>
      </c>
      <c r="D149" t="s">
        <v>163</v>
      </c>
    </row>
    <row r="150" spans="1:4" x14ac:dyDescent="0.7">
      <c r="A150" s="3">
        <f t="shared" si="9"/>
        <v>150</v>
      </c>
      <c r="B150" s="3" t="str">
        <f t="shared" si="10"/>
        <v>【005000 経理部　　　　　　　】（つづき）</v>
      </c>
      <c r="C150" s="3" t="str">
        <f t="shared" si="8"/>
        <v/>
      </c>
      <c r="D150" t="s">
        <v>164</v>
      </c>
    </row>
    <row r="151" spans="1:4" x14ac:dyDescent="0.7">
      <c r="A151" s="3">
        <f t="shared" si="9"/>
        <v>151</v>
      </c>
      <c r="B151" s="3" t="str">
        <f t="shared" si="10"/>
        <v>【005000 経理部　　　　　　　】（つづき）</v>
      </c>
      <c r="C151" s="3" t="str">
        <f t="shared" si="8"/>
        <v/>
      </c>
      <c r="D151" t="s">
        <v>165</v>
      </c>
    </row>
    <row r="152" spans="1:4" x14ac:dyDescent="0.7">
      <c r="A152" s="3">
        <f t="shared" si="9"/>
        <v>152</v>
      </c>
      <c r="B152" s="3" t="str">
        <f t="shared" si="10"/>
        <v>【005000 経理部　　　　　　　】（つづき）</v>
      </c>
      <c r="C152" s="3" t="str">
        <f t="shared" si="8"/>
        <v/>
      </c>
      <c r="D152" t="s">
        <v>166</v>
      </c>
    </row>
    <row r="153" spans="1:4" x14ac:dyDescent="0.7">
      <c r="A153" s="3" t="str">
        <f t="shared" si="9"/>
        <v/>
      </c>
      <c r="B153" s="3" t="str">
        <f t="shared" si="10"/>
        <v>【005000 経理部　　　　　　　】（つづき）</v>
      </c>
      <c r="C153" s="3" t="str">
        <f t="shared" si="8"/>
        <v/>
      </c>
      <c r="D153" t="s">
        <v>69</v>
      </c>
    </row>
    <row r="154" spans="1:4" x14ac:dyDescent="0.7">
      <c r="A154" s="3" t="str">
        <f t="shared" si="9"/>
        <v/>
      </c>
      <c r="B154" s="3" t="str">
        <f t="shared" si="10"/>
        <v>【005000 経理部　　　　　　　】（つづき）</v>
      </c>
      <c r="C154" s="3" t="str">
        <f t="shared" si="8"/>
        <v/>
      </c>
      <c r="D154" t="s">
        <v>167</v>
      </c>
    </row>
    <row r="155" spans="1:4" x14ac:dyDescent="0.7">
      <c r="A155" s="3" t="str">
        <f t="shared" si="9"/>
        <v/>
      </c>
      <c r="B155" s="3" t="str">
        <f t="shared" si="10"/>
        <v>【005000 経理部　　　　　　　】（つづき）</v>
      </c>
      <c r="C155" s="3" t="str">
        <f t="shared" si="8"/>
        <v/>
      </c>
    </row>
    <row r="156" spans="1:4" x14ac:dyDescent="0.7">
      <c r="A156" s="3" t="str">
        <f t="shared" si="9"/>
        <v/>
      </c>
      <c r="B156" s="3" t="str">
        <f t="shared" si="10"/>
        <v>【005000 経理部　　　　　　　】（つづき）</v>
      </c>
      <c r="C156" s="3" t="str">
        <f t="shared" si="8"/>
        <v/>
      </c>
      <c r="D156" t="s">
        <v>0</v>
      </c>
    </row>
    <row r="157" spans="1:4" x14ac:dyDescent="0.7">
      <c r="A157" s="3" t="str">
        <f t="shared" si="9"/>
        <v/>
      </c>
      <c r="B157" s="3" t="str">
        <f t="shared" si="10"/>
        <v>【005000 経理部　　　　　　　】（つづき）</v>
      </c>
      <c r="C157" s="3" t="str">
        <f t="shared" si="8"/>
        <v/>
      </c>
      <c r="D157" t="s">
        <v>168</v>
      </c>
    </row>
    <row r="158" spans="1:4" x14ac:dyDescent="0.7">
      <c r="A158" s="3" t="str">
        <f t="shared" si="9"/>
        <v/>
      </c>
      <c r="B158" s="3" t="str">
        <f t="shared" si="10"/>
        <v>【005000 経理部　　　　　　　】（つづき）</v>
      </c>
      <c r="C158" s="3" t="str">
        <f t="shared" si="8"/>
        <v/>
      </c>
      <c r="D158" t="s">
        <v>0</v>
      </c>
    </row>
    <row r="159" spans="1:4" x14ac:dyDescent="0.7">
      <c r="A159" s="3" t="str">
        <f t="shared" si="9"/>
        <v/>
      </c>
      <c r="B159" s="3" t="str">
        <f t="shared" si="10"/>
        <v>【005000 経理部　　　　　　　】（つづき）</v>
      </c>
      <c r="C159" s="3" t="str">
        <f t="shared" si="8"/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EECA-7526-4AA1-ADF0-EFA093A87B80}">
  <dimension ref="A1:K101"/>
  <sheetViews>
    <sheetView zoomScaleNormal="100" workbookViewId="0">
      <selection activeCell="A28" sqref="A28"/>
    </sheetView>
  </sheetViews>
  <sheetFormatPr defaultRowHeight="17.649999999999999" x14ac:dyDescent="0.7"/>
  <cols>
    <col min="1" max="1" width="26.75" customWidth="1"/>
    <col min="2" max="2" width="24.0625" customWidth="1"/>
    <col min="4" max="4" width="10.875" bestFit="1" customWidth="1"/>
    <col min="5" max="5" width="20.125" customWidth="1"/>
    <col min="6" max="6" width="10.8125" bestFit="1" customWidth="1"/>
    <col min="7" max="7" width="33.75" bestFit="1" customWidth="1"/>
    <col min="8" max="9" width="10.0625" bestFit="1" customWidth="1"/>
    <col min="10" max="10" width="16.125" customWidth="1"/>
    <col min="11" max="11" width="34.9375" bestFit="1" customWidth="1"/>
  </cols>
  <sheetData>
    <row r="1" spans="1:11" x14ac:dyDescent="0.7">
      <c r="A1" s="1" t="s">
        <v>2</v>
      </c>
      <c r="B1" s="1" t="s">
        <v>3</v>
      </c>
      <c r="C1" s="2" t="s">
        <v>1</v>
      </c>
      <c r="D1" s="1" t="s">
        <v>4</v>
      </c>
      <c r="E1" s="1" t="s">
        <v>5</v>
      </c>
      <c r="F1" s="1" t="s">
        <v>169</v>
      </c>
      <c r="G1" s="1" t="s">
        <v>170</v>
      </c>
      <c r="H1" s="1" t="s">
        <v>267</v>
      </c>
      <c r="I1" s="1" t="s">
        <v>266</v>
      </c>
      <c r="J1" s="1" t="s">
        <v>171</v>
      </c>
      <c r="K1" s="1" t="s">
        <v>172</v>
      </c>
    </row>
    <row r="2" spans="1:11" x14ac:dyDescent="0.7">
      <c r="A2" s="2" t="str" cm="1">
        <f t="array" ref="A2">IFERROR(INDEX(貼付シート!$D$1:$D$10000,SMALL(貼付シート!$A$1:$A$10000,C2)),"")</f>
        <v>EMP-00101 佐藤　一郎　　　　　 2024/06/01 株式会社北都商事　　　　　　　　     125000 事務用品購入</v>
      </c>
      <c r="B2" s="2" t="str" cm="1">
        <f t="array" ref="B2">IFERROR(INDEX(貼付シート!$B$1:$B$10000,SMALL(貼付シート!$A$1:$A$10000,C2)+1),"")</f>
        <v>【001000 総務部　　　　　　　】</v>
      </c>
      <c r="C2" s="1">
        <v>1</v>
      </c>
      <c r="D2" s="1" t="str">
        <f t="shared" ref="D2:D33" si="0">MIDB(A2,1,9)</f>
        <v>EMP-00101</v>
      </c>
      <c r="E2" s="1" t="str">
        <f>TRIM(MIDB(A2,11,21))</f>
        <v>佐藤　一郎</v>
      </c>
      <c r="F2" s="1" t="str">
        <f>MIDB(A2,32,10)</f>
        <v>2024/06/01</v>
      </c>
      <c r="G2" s="1" t="str">
        <f>TRIM(MIDB(A2,43,37))</f>
        <v>株式会社北都商事</v>
      </c>
      <c r="H2" s="1" t="str">
        <f>MIDB(B2,2,7)</f>
        <v xml:space="preserve"> 001000</v>
      </c>
      <c r="I2" s="1" t="str">
        <f>TRIM(MIDB(B2,10,15))</f>
        <v>総務部</v>
      </c>
      <c r="J2" s="1">
        <f>IF(A2="","",VALUE(TRIM(MIDB(A2,73,13))))</f>
        <v>125000</v>
      </c>
      <c r="K2" s="1" t="str">
        <f>TRIM(MIDB(A2,87,30))</f>
        <v>事務用品購入</v>
      </c>
    </row>
    <row r="3" spans="1:11" x14ac:dyDescent="0.7">
      <c r="A3" s="2" t="str" cm="1">
        <f t="array" ref="A3">IFERROR(INDEX(貼付シート!$D$1:$D$10000,SMALL(貼付シート!$A$1:$A$10000,C3)),"")</f>
        <v>EMP-00101 佐藤　一郎　　　　　 2024/06/05 有限会社南海物産　　　　　　　　      48000 消耗品補充</v>
      </c>
      <c r="B3" s="2" t="str" cm="1">
        <f t="array" ref="B3">IFERROR(INDEX(貼付シート!$B$1:$B$10000,SMALL(貼付シート!$A$1:$A$10000,C3)+1),"")</f>
        <v>【001000 総務部　　　　　　　】</v>
      </c>
      <c r="C3" s="1">
        <v>2</v>
      </c>
      <c r="D3" s="1" t="str">
        <f t="shared" si="0"/>
        <v>EMP-00101</v>
      </c>
      <c r="E3" s="1" t="str">
        <f t="shared" ref="E3:E66" si="1">TRIM(MIDB(A3,11,21))</f>
        <v>佐藤　一郎</v>
      </c>
      <c r="F3" s="1" t="str">
        <f t="shared" ref="F3:F66" si="2">MIDB(A3,32,10)</f>
        <v>2024/06/05</v>
      </c>
      <c r="G3" s="1" t="str">
        <f t="shared" ref="G3:G66" si="3">TRIM(MIDB(A3,43,37))</f>
        <v>有限会社南海物産</v>
      </c>
      <c r="H3" s="1" t="str">
        <f t="shared" ref="H3:H66" si="4">MIDB(B3,2,7)</f>
        <v xml:space="preserve"> 001000</v>
      </c>
      <c r="I3" s="1" t="str">
        <f t="shared" ref="I3:I66" si="5">TRIM(MIDB(B3,10,15))</f>
        <v>総務部</v>
      </c>
      <c r="J3" s="1">
        <f t="shared" ref="J3:J66" si="6">IF(A3="","",VALUE(TRIM(MIDB(A3,73,13))))</f>
        <v>48000</v>
      </c>
      <c r="K3" s="1" t="str">
        <f t="shared" ref="K3:K66" si="7">TRIM(MIDB(A3,87,30))</f>
        <v>消耗品補充</v>
      </c>
    </row>
    <row r="4" spans="1:11" x14ac:dyDescent="0.7">
      <c r="A4" s="2" t="str" cm="1">
        <f t="array" ref="A4">IFERROR(INDEX(貼付シート!$D$1:$D$10000,SMALL(貼付シート!$A$1:$A$10000,C4)),"")</f>
        <v>EMP-00102 鈴木　花子　　　　　 2024/06/03 合同会社東西サービス　　　　　　      72000 清掃業務委託</v>
      </c>
      <c r="B4" s="2" t="str" cm="1">
        <f t="array" ref="B4">IFERROR(INDEX(貼付シート!$B$1:$B$10000,SMALL(貼付シート!$A$1:$A$10000,C4)+1),"")</f>
        <v>【001000 総務部　　　　　　　】</v>
      </c>
      <c r="C4" s="1">
        <v>3</v>
      </c>
      <c r="D4" s="1" t="str">
        <f t="shared" si="0"/>
        <v>EMP-00102</v>
      </c>
      <c r="E4" s="1" t="str">
        <f t="shared" si="1"/>
        <v>鈴木　花子</v>
      </c>
      <c r="F4" s="1" t="str">
        <f t="shared" si="2"/>
        <v>2024/06/03</v>
      </c>
      <c r="G4" s="1" t="str">
        <f t="shared" si="3"/>
        <v>合同会社東西サービス</v>
      </c>
      <c r="H4" s="1" t="str">
        <f t="shared" si="4"/>
        <v xml:space="preserve"> 001000</v>
      </c>
      <c r="I4" s="1" t="str">
        <f t="shared" si="5"/>
        <v>総務部</v>
      </c>
      <c r="J4" s="1">
        <f t="shared" si="6"/>
        <v>72000</v>
      </c>
      <c r="K4" s="1" t="str">
        <f t="shared" si="7"/>
        <v>清掃業務委託</v>
      </c>
    </row>
    <row r="5" spans="1:11" x14ac:dyDescent="0.7">
      <c r="A5" s="2" t="str" cm="1">
        <f t="array" ref="A5">IFERROR(INDEX(貼付シート!$D$1:$D$10000,SMALL(貼付シート!$A$1:$A$10000,C5)),"")</f>
        <v>EMP-00102 鈴木　花子　　　　　 2024/06/10 株式会社北都商事　　　　　　　　      33500 コピー用紙発注</v>
      </c>
      <c r="B5" s="2" t="str" cm="1">
        <f t="array" ref="B5">IFERROR(INDEX(貼付シート!$B$1:$B$10000,SMALL(貼付シート!$A$1:$A$10000,C5)+1),"")</f>
        <v>【001000 総務部　　　　　　　】</v>
      </c>
      <c r="C5" s="1">
        <v>4</v>
      </c>
      <c r="D5" s="1" t="str">
        <f t="shared" si="0"/>
        <v>EMP-00102</v>
      </c>
      <c r="E5" s="1" t="str">
        <f t="shared" si="1"/>
        <v>鈴木　花子</v>
      </c>
      <c r="F5" s="1" t="str">
        <f t="shared" si="2"/>
        <v>2024/06/10</v>
      </c>
      <c r="G5" s="1" t="str">
        <f t="shared" si="3"/>
        <v>株式会社北都商事</v>
      </c>
      <c r="H5" s="1" t="str">
        <f t="shared" si="4"/>
        <v xml:space="preserve"> 001000</v>
      </c>
      <c r="I5" s="1" t="str">
        <f t="shared" si="5"/>
        <v>総務部</v>
      </c>
      <c r="J5" s="1">
        <f t="shared" si="6"/>
        <v>33500</v>
      </c>
      <c r="K5" s="1" t="str">
        <f t="shared" si="7"/>
        <v>コピー用紙発注</v>
      </c>
    </row>
    <row r="6" spans="1:11" x14ac:dyDescent="0.7">
      <c r="A6" s="2" t="str" cm="1">
        <f t="array" ref="A6">IFERROR(INDEX(貼付シート!$D$1:$D$10000,SMALL(貼付シート!$A$1:$A$10000,C6)),"")</f>
        <v>EMP-00102 鈴木　花子　　　　　 2024/06/18 個人事業主田中建設　　　　　　　     185000 修繕工事代金</v>
      </c>
      <c r="B6" s="2" t="str" cm="1">
        <f t="array" ref="B6">IFERROR(INDEX(貼付シート!$B$1:$B$10000,SMALL(貼付シート!$A$1:$A$10000,C6)+1),"")</f>
        <v>【001000 総務部　　　　　　　】</v>
      </c>
      <c r="C6" s="1">
        <v>5</v>
      </c>
      <c r="D6" s="1" t="str">
        <f t="shared" si="0"/>
        <v>EMP-00102</v>
      </c>
      <c r="E6" s="1" t="str">
        <f t="shared" si="1"/>
        <v>鈴木　花子</v>
      </c>
      <c r="F6" s="1" t="str">
        <f t="shared" si="2"/>
        <v>2024/06/18</v>
      </c>
      <c r="G6" s="1" t="str">
        <f t="shared" si="3"/>
        <v>個人事業主田中建設</v>
      </c>
      <c r="H6" s="1" t="str">
        <f t="shared" si="4"/>
        <v xml:space="preserve"> 001000</v>
      </c>
      <c r="I6" s="1" t="str">
        <f t="shared" si="5"/>
        <v>総務部</v>
      </c>
      <c r="J6" s="1">
        <f t="shared" si="6"/>
        <v>185000</v>
      </c>
      <c r="K6" s="1" t="str">
        <f t="shared" si="7"/>
        <v>修繕工事代金</v>
      </c>
    </row>
    <row r="7" spans="1:11" x14ac:dyDescent="0.7">
      <c r="A7" s="2" t="str" cm="1">
        <f t="array" ref="A7">IFERROR(INDEX(貼付シート!$D$1:$D$10000,SMALL(貼付シート!$A$1:$A$10000,C7)),"")</f>
        <v>EMP-00103 高橋　健太　　　　　 2024/06/07 株式会社中央システム　　　　　　      96000 PC保守契約</v>
      </c>
      <c r="B7" s="2" t="str" cm="1">
        <f t="array" ref="B7">IFERROR(INDEX(貼付シート!$B$1:$B$10000,SMALL(貼付シート!$A$1:$A$10000,C7)+1),"")</f>
        <v>【001000 総務部　　　　　　　】</v>
      </c>
      <c r="C7" s="1">
        <v>6</v>
      </c>
      <c r="D7" s="1" t="str">
        <f t="shared" si="0"/>
        <v>EMP-00103</v>
      </c>
      <c r="E7" s="1" t="str">
        <f t="shared" si="1"/>
        <v>高橋　健太</v>
      </c>
      <c r="F7" s="1" t="str">
        <f t="shared" si="2"/>
        <v>2024/06/07</v>
      </c>
      <c r="G7" s="1" t="str">
        <f t="shared" si="3"/>
        <v>株式会社中央システム</v>
      </c>
      <c r="H7" s="1" t="str">
        <f t="shared" si="4"/>
        <v xml:space="preserve"> 001000</v>
      </c>
      <c r="I7" s="1" t="str">
        <f t="shared" si="5"/>
        <v>総務部</v>
      </c>
      <c r="J7" s="1">
        <f t="shared" si="6"/>
        <v>96000</v>
      </c>
      <c r="K7" s="1" t="str">
        <f t="shared" si="7"/>
        <v>PC保守契約</v>
      </c>
    </row>
    <row r="8" spans="1:11" x14ac:dyDescent="0.7">
      <c r="A8" s="2" t="str" cm="1">
        <f t="array" ref="A8">IFERROR(INDEX(貼付シート!$D$1:$D$10000,SMALL(貼付シート!$A$1:$A$10000,C8)),"")</f>
        <v>EMP-00103 高橋　健太　　　　　 2024/06/12 合同会社東西サービス　　　　　　      15000 名刺印刷</v>
      </c>
      <c r="B8" s="2" t="str" cm="1">
        <f t="array" ref="B8">IFERROR(INDEX(貼付シート!$B$1:$B$10000,SMALL(貼付シート!$A$1:$A$10000,C8)+1),"")</f>
        <v>【001000 総務部　　　　　　　】</v>
      </c>
      <c r="C8" s="1">
        <v>7</v>
      </c>
      <c r="D8" s="1" t="str">
        <f t="shared" si="0"/>
        <v>EMP-00103</v>
      </c>
      <c r="E8" s="1" t="str">
        <f t="shared" si="1"/>
        <v>高橋　健太</v>
      </c>
      <c r="F8" s="1" t="str">
        <f t="shared" si="2"/>
        <v>2024/06/12</v>
      </c>
      <c r="G8" s="1" t="str">
        <f t="shared" si="3"/>
        <v>合同会社東西サービス</v>
      </c>
      <c r="H8" s="1" t="str">
        <f t="shared" si="4"/>
        <v xml:space="preserve"> 001000</v>
      </c>
      <c r="I8" s="1" t="str">
        <f t="shared" si="5"/>
        <v>総務部</v>
      </c>
      <c r="J8" s="1">
        <f t="shared" si="6"/>
        <v>15000</v>
      </c>
      <c r="K8" s="1" t="str">
        <f t="shared" si="7"/>
        <v>名刺印刷</v>
      </c>
    </row>
    <row r="9" spans="1:11" x14ac:dyDescent="0.7">
      <c r="A9" s="2" t="str" cm="1">
        <f t="array" ref="A9">IFERROR(INDEX(貼付シート!$D$1:$D$10000,SMALL(貼付シート!$A$1:$A$10000,C9)),"")</f>
        <v>EMP-00103 高橋　健太　　　　　 2024/06/20 有限会社南海物産　　　　　　　　      62000 備品購入</v>
      </c>
      <c r="B9" s="2" t="str" cm="1">
        <f t="array" ref="B9">IFERROR(INDEX(貼付シート!$B$1:$B$10000,SMALL(貼付シート!$A$1:$A$10000,C9)+1),"")</f>
        <v>【001000 総務部　　　　　　　】</v>
      </c>
      <c r="C9" s="1">
        <v>8</v>
      </c>
      <c r="D9" s="1" t="str">
        <f t="shared" si="0"/>
        <v>EMP-00103</v>
      </c>
      <c r="E9" s="1" t="str">
        <f t="shared" si="1"/>
        <v>高橋　健太</v>
      </c>
      <c r="F9" s="1" t="str">
        <f t="shared" si="2"/>
        <v>2024/06/20</v>
      </c>
      <c r="G9" s="1" t="str">
        <f t="shared" si="3"/>
        <v>有限会社南海物産</v>
      </c>
      <c r="H9" s="1" t="str">
        <f t="shared" si="4"/>
        <v xml:space="preserve"> 001000</v>
      </c>
      <c r="I9" s="1" t="str">
        <f t="shared" si="5"/>
        <v>総務部</v>
      </c>
      <c r="J9" s="1">
        <f t="shared" si="6"/>
        <v>62000</v>
      </c>
      <c r="K9" s="1" t="str">
        <f t="shared" si="7"/>
        <v>備品購入</v>
      </c>
    </row>
    <row r="10" spans="1:11" x14ac:dyDescent="0.7">
      <c r="A10" s="2" t="str" cm="1">
        <f t="array" ref="A10">IFERROR(INDEX(貼付シート!$D$1:$D$10000,SMALL(貼付シート!$A$1:$A$10000,C10)),"")</f>
        <v>EMP-00104 渡辺　美咲　　　　　 2024/06/08 株式会社北都商事　　　　　　　　      27500 封筒印刷</v>
      </c>
      <c r="B10" s="2" t="str" cm="1">
        <f t="array" ref="B10">IFERROR(INDEX(貼付シート!$B$1:$B$10000,SMALL(貼付シート!$A$1:$A$10000,C10)+1),"")</f>
        <v>【001000 総務部　　　　　　　】（つづき）</v>
      </c>
      <c r="C10" s="1">
        <v>9</v>
      </c>
      <c r="D10" s="1" t="str">
        <f t="shared" si="0"/>
        <v>EMP-00104</v>
      </c>
      <c r="E10" s="1" t="str">
        <f t="shared" si="1"/>
        <v>渡辺　美咲</v>
      </c>
      <c r="F10" s="1" t="str">
        <f t="shared" si="2"/>
        <v>2024/06/08</v>
      </c>
      <c r="G10" s="1" t="str">
        <f t="shared" si="3"/>
        <v>株式会社北都商事</v>
      </c>
      <c r="H10" s="1" t="str">
        <f t="shared" si="4"/>
        <v xml:space="preserve"> 001000</v>
      </c>
      <c r="I10" s="1" t="str">
        <f t="shared" si="5"/>
        <v>総務部</v>
      </c>
      <c r="J10" s="1">
        <f t="shared" si="6"/>
        <v>27500</v>
      </c>
      <c r="K10" s="1" t="str">
        <f t="shared" si="7"/>
        <v>封筒印刷</v>
      </c>
    </row>
    <row r="11" spans="1:11" x14ac:dyDescent="0.7">
      <c r="A11" s="2" t="str" cm="1">
        <f t="array" ref="A11">IFERROR(INDEX(貼付シート!$D$1:$D$10000,SMALL(貼付シート!$A$1:$A$10000,C11)),"")</f>
        <v>EMP-00104 渡辺　美咲　　　　　 2024/06/15 株式会社中央システム　　　　　　     110000 サーバー保守</v>
      </c>
      <c r="B11" s="2" t="str" cm="1">
        <f t="array" ref="B11">IFERROR(INDEX(貼付シート!$B$1:$B$10000,SMALL(貼付シート!$A$1:$A$10000,C11)+1),"")</f>
        <v>【001000 総務部　　　　　　　】（つづき）</v>
      </c>
      <c r="C11" s="1">
        <v>10</v>
      </c>
      <c r="D11" s="1" t="str">
        <f t="shared" si="0"/>
        <v>EMP-00104</v>
      </c>
      <c r="E11" s="1" t="str">
        <f t="shared" si="1"/>
        <v>渡辺　美咲</v>
      </c>
      <c r="F11" s="1" t="str">
        <f t="shared" si="2"/>
        <v>2024/06/15</v>
      </c>
      <c r="G11" s="1" t="str">
        <f t="shared" si="3"/>
        <v>株式会社中央システム</v>
      </c>
      <c r="H11" s="1" t="str">
        <f t="shared" si="4"/>
        <v xml:space="preserve"> 001000</v>
      </c>
      <c r="I11" s="1" t="str">
        <f t="shared" si="5"/>
        <v>総務部</v>
      </c>
      <c r="J11" s="1">
        <f t="shared" si="6"/>
        <v>110000</v>
      </c>
      <c r="K11" s="1" t="str">
        <f t="shared" si="7"/>
        <v>サーバー保守</v>
      </c>
    </row>
    <row r="12" spans="1:11" x14ac:dyDescent="0.7">
      <c r="A12" s="2" t="str" cm="1">
        <f t="array" ref="A12">IFERROR(INDEX(貼付シート!$D$1:$D$10000,SMALL(貼付シート!$A$1:$A$10000,C12)),"")</f>
        <v>EMP-00104 渡辺　美咲　　　　　 2024/06/22 有限会社南海物産　　　　　　　　      44000 衛生用品購入</v>
      </c>
      <c r="B12" s="2" t="str" cm="1">
        <f t="array" ref="B12">IFERROR(INDEX(貼付シート!$B$1:$B$10000,SMALL(貼付シート!$A$1:$A$10000,C12)+1),"")</f>
        <v>【001000 総務部　　　　　　　】（つづき）</v>
      </c>
      <c r="C12" s="1">
        <v>11</v>
      </c>
      <c r="D12" s="1" t="str">
        <f t="shared" si="0"/>
        <v>EMP-00104</v>
      </c>
      <c r="E12" s="1" t="str">
        <f t="shared" si="1"/>
        <v>渡辺　美咲</v>
      </c>
      <c r="F12" s="1" t="str">
        <f t="shared" si="2"/>
        <v>2024/06/22</v>
      </c>
      <c r="G12" s="1" t="str">
        <f t="shared" si="3"/>
        <v>有限会社南海物産</v>
      </c>
      <c r="H12" s="1" t="str">
        <f t="shared" si="4"/>
        <v xml:space="preserve"> 001000</v>
      </c>
      <c r="I12" s="1" t="str">
        <f t="shared" si="5"/>
        <v>総務部</v>
      </c>
      <c r="J12" s="1">
        <f t="shared" si="6"/>
        <v>44000</v>
      </c>
      <c r="K12" s="1" t="str">
        <f t="shared" si="7"/>
        <v>衛生用品購入</v>
      </c>
    </row>
    <row r="13" spans="1:11" x14ac:dyDescent="0.7">
      <c r="A13" s="2" t="str" cm="1">
        <f t="array" ref="A13">IFERROR(INDEX(貼付シート!$D$1:$D$10000,SMALL(貼付シート!$A$1:$A$10000,C13)),"")</f>
        <v>EMP-00105 伊藤　大輔　　　　　 2024/06/11 個人事業主田中建設　　　　　　　     230000 空調設備点検</v>
      </c>
      <c r="B13" s="2" t="str" cm="1">
        <f t="array" ref="B13">IFERROR(INDEX(貼付シート!$B$1:$B$10000,SMALL(貼付シート!$A$1:$A$10000,C13)+1),"")</f>
        <v>【001000 総務部　　　　　　　】（つづき）</v>
      </c>
      <c r="C13" s="1">
        <v>12</v>
      </c>
      <c r="D13" s="1" t="str">
        <f t="shared" si="0"/>
        <v>EMP-00105</v>
      </c>
      <c r="E13" s="1" t="str">
        <f t="shared" si="1"/>
        <v>伊藤　大輔</v>
      </c>
      <c r="F13" s="1" t="str">
        <f t="shared" si="2"/>
        <v>2024/06/11</v>
      </c>
      <c r="G13" s="1" t="str">
        <f t="shared" si="3"/>
        <v>個人事業主田中建設</v>
      </c>
      <c r="H13" s="1" t="str">
        <f t="shared" si="4"/>
        <v xml:space="preserve"> 001000</v>
      </c>
      <c r="I13" s="1" t="str">
        <f t="shared" si="5"/>
        <v>総務部</v>
      </c>
      <c r="J13" s="1">
        <f t="shared" si="6"/>
        <v>230000</v>
      </c>
      <c r="K13" s="1" t="str">
        <f t="shared" si="7"/>
        <v>空調設備点検</v>
      </c>
    </row>
    <row r="14" spans="1:11" x14ac:dyDescent="0.7">
      <c r="A14" s="2" t="str" cm="1">
        <f t="array" ref="A14">IFERROR(INDEX(貼付シート!$D$1:$D$10000,SMALL(貼付シート!$A$1:$A$10000,C14)),"")</f>
        <v>EMP-00105 伊藤　大輔　　　　　 2024/06/25 合同会社東西サービス　　　　　　      58000 警備業務委託</v>
      </c>
      <c r="B14" s="2" t="str" cm="1">
        <f t="array" ref="B14">IFERROR(INDEX(貼付シート!$B$1:$B$10000,SMALL(貼付シート!$A$1:$A$10000,C14)+1),"")</f>
        <v>【001000 総務部　　　　　　　】（つづき）</v>
      </c>
      <c r="C14" s="1">
        <v>13</v>
      </c>
      <c r="D14" s="1" t="str">
        <f t="shared" si="0"/>
        <v>EMP-00105</v>
      </c>
      <c r="E14" s="1" t="str">
        <f t="shared" si="1"/>
        <v>伊藤　大輔</v>
      </c>
      <c r="F14" s="1" t="str">
        <f t="shared" si="2"/>
        <v>2024/06/25</v>
      </c>
      <c r="G14" s="1" t="str">
        <f t="shared" si="3"/>
        <v>合同会社東西サービス</v>
      </c>
      <c r="H14" s="1" t="str">
        <f t="shared" si="4"/>
        <v xml:space="preserve"> 001000</v>
      </c>
      <c r="I14" s="1" t="str">
        <f t="shared" si="5"/>
        <v>総務部</v>
      </c>
      <c r="J14" s="1">
        <f t="shared" si="6"/>
        <v>58000</v>
      </c>
      <c r="K14" s="1" t="str">
        <f t="shared" si="7"/>
        <v>警備業務委託</v>
      </c>
    </row>
    <row r="15" spans="1:11" x14ac:dyDescent="0.7">
      <c r="A15" s="2" t="str" cm="1">
        <f t="array" ref="A15">IFERROR(INDEX(貼付シート!$D$1:$D$10000,SMALL(貼付シート!$A$1:$A$10000,C15)),"")</f>
        <v>EMP-00105 伊藤　大輔　　　　　 2024/06/28 株式会社北都商事　　　　　　　　      19500 文具発注</v>
      </c>
      <c r="B15" s="2" t="str" cm="1">
        <f t="array" ref="B15">IFERROR(INDEX(貼付シート!$B$1:$B$10000,SMALL(貼付シート!$A$1:$A$10000,C15)+1),"")</f>
        <v>【001000 総務部　　　　　　　】（つづき）</v>
      </c>
      <c r="C15" s="1">
        <v>14</v>
      </c>
      <c r="D15" s="1" t="str">
        <f t="shared" si="0"/>
        <v>EMP-00105</v>
      </c>
      <c r="E15" s="1" t="str">
        <f t="shared" si="1"/>
        <v>伊藤　大輔</v>
      </c>
      <c r="F15" s="1" t="str">
        <f t="shared" si="2"/>
        <v>2024/06/28</v>
      </c>
      <c r="G15" s="1" t="str">
        <f t="shared" si="3"/>
        <v>株式会社北都商事</v>
      </c>
      <c r="H15" s="1" t="str">
        <f t="shared" si="4"/>
        <v xml:space="preserve"> 001000</v>
      </c>
      <c r="I15" s="1" t="str">
        <f t="shared" si="5"/>
        <v>総務部</v>
      </c>
      <c r="J15" s="1">
        <f t="shared" si="6"/>
        <v>19500</v>
      </c>
      <c r="K15" s="1" t="str">
        <f t="shared" si="7"/>
        <v>文具発注</v>
      </c>
    </row>
    <row r="16" spans="1:11" x14ac:dyDescent="0.7">
      <c r="A16" s="2" t="str" cm="1">
        <f t="array" ref="A16">IFERROR(INDEX(貼付シート!$D$1:$D$10000,SMALL(貼付シート!$A$1:$A$10000,C16)),"")</f>
        <v>EMP-00201 中村　翔太　　　　　 2024/06/02 株式会社西日本工業　　　　　　　     340000 製品納品代金</v>
      </c>
      <c r="B16" s="2" t="str" cm="1">
        <f t="array" ref="B16">IFERROR(INDEX(貼付シート!$B$1:$B$10000,SMALL(貼付シート!$A$1:$A$10000,C16)+1),"")</f>
        <v>【002000 営業第一課　　　　　】</v>
      </c>
      <c r="C16" s="1">
        <v>15</v>
      </c>
      <c r="D16" s="1" t="str">
        <f t="shared" si="0"/>
        <v>EMP-00201</v>
      </c>
      <c r="E16" s="1" t="str">
        <f t="shared" si="1"/>
        <v>中村　翔太</v>
      </c>
      <c r="F16" s="1" t="str">
        <f t="shared" si="2"/>
        <v>2024/06/02</v>
      </c>
      <c r="G16" s="1" t="str">
        <f t="shared" si="3"/>
        <v>株式会社西日本工業</v>
      </c>
      <c r="H16" s="1" t="str">
        <f t="shared" si="4"/>
        <v xml:space="preserve"> 002000</v>
      </c>
      <c r="I16" s="1" t="str">
        <f t="shared" si="5"/>
        <v>営業第一課</v>
      </c>
      <c r="J16" s="1">
        <f t="shared" si="6"/>
        <v>340000</v>
      </c>
      <c r="K16" s="1" t="str">
        <f t="shared" si="7"/>
        <v>製品納品代金</v>
      </c>
    </row>
    <row r="17" spans="1:11" x14ac:dyDescent="0.7">
      <c r="A17" s="2" t="str" cm="1">
        <f t="array" ref="A17">IFERROR(INDEX(貼付シート!$D$1:$D$10000,SMALL(貼付シート!$A$1:$A$10000,C17)),"")</f>
        <v>EMP-00201 中村　翔太　　　　　 2024/06/09 有限会社丸山製作所　　　　　　　     187000 部品調達費</v>
      </c>
      <c r="B17" s="2" t="str" cm="1">
        <f t="array" ref="B17">IFERROR(INDEX(貼付シート!$B$1:$B$10000,SMALL(貼付シート!$A$1:$A$10000,C17)+1),"")</f>
        <v>【002000 営業第一課　　　　　】</v>
      </c>
      <c r="C17" s="1">
        <v>16</v>
      </c>
      <c r="D17" s="1" t="str">
        <f t="shared" si="0"/>
        <v>EMP-00201</v>
      </c>
      <c r="E17" s="1" t="str">
        <f t="shared" si="1"/>
        <v>中村　翔太</v>
      </c>
      <c r="F17" s="1" t="str">
        <f t="shared" si="2"/>
        <v>2024/06/09</v>
      </c>
      <c r="G17" s="1" t="str">
        <f t="shared" si="3"/>
        <v>有限会社丸山製作所</v>
      </c>
      <c r="H17" s="1" t="str">
        <f t="shared" si="4"/>
        <v xml:space="preserve"> 002000</v>
      </c>
      <c r="I17" s="1" t="str">
        <f t="shared" si="5"/>
        <v>営業第一課</v>
      </c>
      <c r="J17" s="1">
        <f t="shared" si="6"/>
        <v>187000</v>
      </c>
      <c r="K17" s="1" t="str">
        <f t="shared" si="7"/>
        <v>部品調達費</v>
      </c>
    </row>
    <row r="18" spans="1:11" x14ac:dyDescent="0.7">
      <c r="A18" s="2" t="str" cm="1">
        <f t="array" ref="A18">IFERROR(INDEX(貼付シート!$D$1:$D$10000,SMALL(貼付シート!$A$1:$A$10000,C18)),"")</f>
        <v>EMP-00201 中村　翔太　　　　　 2024/06/16 株式会社大和運輸　　　　　　　　      55000 配送料</v>
      </c>
      <c r="B18" s="2" t="str" cm="1">
        <f t="array" ref="B18">IFERROR(INDEX(貼付シート!$B$1:$B$10000,SMALL(貼付シート!$A$1:$A$10000,C18)+1),"")</f>
        <v>【002000 営業第一課　　　　　】</v>
      </c>
      <c r="C18" s="1">
        <v>17</v>
      </c>
      <c r="D18" s="1" t="str">
        <f t="shared" si="0"/>
        <v>EMP-00201</v>
      </c>
      <c r="E18" s="1" t="str">
        <f t="shared" si="1"/>
        <v>中村　翔太</v>
      </c>
      <c r="F18" s="1" t="str">
        <f t="shared" si="2"/>
        <v>2024/06/16</v>
      </c>
      <c r="G18" s="1" t="str">
        <f t="shared" si="3"/>
        <v>株式会社大和運輸</v>
      </c>
      <c r="H18" s="1" t="str">
        <f t="shared" si="4"/>
        <v xml:space="preserve"> 002000</v>
      </c>
      <c r="I18" s="1" t="str">
        <f t="shared" si="5"/>
        <v>営業第一課</v>
      </c>
      <c r="J18" s="1">
        <f t="shared" si="6"/>
        <v>55000</v>
      </c>
      <c r="K18" s="1" t="str">
        <f t="shared" si="7"/>
        <v>配送料</v>
      </c>
    </row>
    <row r="19" spans="1:11" x14ac:dyDescent="0.7">
      <c r="A19" s="2" t="str" cm="1">
        <f t="array" ref="A19">IFERROR(INDEX(貼付シート!$D$1:$D$10000,SMALL(貼付シート!$A$1:$A$10000,C19)),"")</f>
        <v>EMP-00202 小林　真由美　　　　 2024/06/04 合同会社グローバル通商　　　　　     420000 輸入代行手数料</v>
      </c>
      <c r="B19" s="2" t="str" cm="1">
        <f t="array" ref="B19">IFERROR(INDEX(貼付シート!$B$1:$B$10000,SMALL(貼付シート!$A$1:$A$10000,C19)+1),"")</f>
        <v>【002000 営業第一課　　　　　】</v>
      </c>
      <c r="C19" s="1">
        <v>18</v>
      </c>
      <c r="D19" s="1" t="str">
        <f t="shared" si="0"/>
        <v>EMP-00202</v>
      </c>
      <c r="E19" s="1" t="str">
        <f t="shared" si="1"/>
        <v>小林　真由美</v>
      </c>
      <c r="F19" s="1" t="str">
        <f t="shared" si="2"/>
        <v>2024/06/04</v>
      </c>
      <c r="G19" s="1" t="str">
        <f t="shared" si="3"/>
        <v>合同会社グローバル通商</v>
      </c>
      <c r="H19" s="1" t="str">
        <f t="shared" si="4"/>
        <v xml:space="preserve"> 002000</v>
      </c>
      <c r="I19" s="1" t="str">
        <f t="shared" si="5"/>
        <v>営業第一課</v>
      </c>
      <c r="J19" s="1">
        <f t="shared" si="6"/>
        <v>420000</v>
      </c>
      <c r="K19" s="1" t="str">
        <f t="shared" si="7"/>
        <v>輸入代行手数料</v>
      </c>
    </row>
    <row r="20" spans="1:11" x14ac:dyDescent="0.7">
      <c r="A20" s="2" t="str" cm="1">
        <f t="array" ref="A20">IFERROR(INDEX(貼付シート!$D$1:$D$10000,SMALL(貼付シート!$A$1:$A$10000,C20)),"")</f>
        <v>EMP-00202 小林　真由美　　　　 2024/06/13 株式会社西日本工業　　　　　　　     215000 金型製作費</v>
      </c>
      <c r="B20" s="2" t="str" cm="1">
        <f t="array" ref="B20">IFERROR(INDEX(貼付シート!$B$1:$B$10000,SMALL(貼付シート!$A$1:$A$10000,C20)+1),"")</f>
        <v>【002000 営業第一課　　　　　】</v>
      </c>
      <c r="C20" s="1">
        <v>19</v>
      </c>
      <c r="D20" s="1" t="str">
        <f t="shared" si="0"/>
        <v>EMP-00202</v>
      </c>
      <c r="E20" s="1" t="str">
        <f t="shared" si="1"/>
        <v>小林　真由美</v>
      </c>
      <c r="F20" s="1" t="str">
        <f t="shared" si="2"/>
        <v>2024/06/13</v>
      </c>
      <c r="G20" s="1" t="str">
        <f t="shared" si="3"/>
        <v>株式会社西日本工業</v>
      </c>
      <c r="H20" s="1" t="str">
        <f t="shared" si="4"/>
        <v xml:space="preserve"> 002000</v>
      </c>
      <c r="I20" s="1" t="str">
        <f t="shared" si="5"/>
        <v>営業第一課</v>
      </c>
      <c r="J20" s="1">
        <f t="shared" si="6"/>
        <v>215000</v>
      </c>
      <c r="K20" s="1" t="str">
        <f t="shared" si="7"/>
        <v>金型製作費</v>
      </c>
    </row>
    <row r="21" spans="1:11" x14ac:dyDescent="0.7">
      <c r="A21" s="2" t="str" cm="1">
        <f t="array" ref="A21">IFERROR(INDEX(貼付シート!$D$1:$D$10000,SMALL(貼付シート!$A$1:$A$10000,C21)),"")</f>
        <v>EMP-00202 小林　真由美　　　　 2024/06/19 有限会社丸山製作所　　　　　　　      78000 試作品費用</v>
      </c>
      <c r="B21" s="2" t="str" cm="1">
        <f t="array" ref="B21">IFERROR(INDEX(貼付シート!$B$1:$B$10000,SMALL(貼付シート!$A$1:$A$10000,C21)+1),"")</f>
        <v>【002000 営業第一課　　　　　】</v>
      </c>
      <c r="C21" s="1">
        <v>20</v>
      </c>
      <c r="D21" s="1" t="str">
        <f t="shared" si="0"/>
        <v>EMP-00202</v>
      </c>
      <c r="E21" s="1" t="str">
        <f t="shared" si="1"/>
        <v>小林　真由美</v>
      </c>
      <c r="F21" s="1" t="str">
        <f t="shared" si="2"/>
        <v>2024/06/19</v>
      </c>
      <c r="G21" s="1" t="str">
        <f t="shared" si="3"/>
        <v>有限会社丸山製作所</v>
      </c>
      <c r="H21" s="1" t="str">
        <f t="shared" si="4"/>
        <v xml:space="preserve"> 002000</v>
      </c>
      <c r="I21" s="1" t="str">
        <f t="shared" si="5"/>
        <v>営業第一課</v>
      </c>
      <c r="J21" s="1">
        <f t="shared" si="6"/>
        <v>78000</v>
      </c>
      <c r="K21" s="1" t="str">
        <f t="shared" si="7"/>
        <v>試作品費用</v>
      </c>
    </row>
    <row r="22" spans="1:11" x14ac:dyDescent="0.7">
      <c r="A22" s="2" t="str" cm="1">
        <f t="array" ref="A22">IFERROR(INDEX(貼付シート!$D$1:$D$10000,SMALL(貼付シート!$A$1:$A$10000,C22)),"")</f>
        <v>EMP-00202 小林　真由美　　　　 2024/06/26 株式会社大和運輸　　　　　　　　      42000 梱包資材</v>
      </c>
      <c r="B22" s="2" t="str" cm="1">
        <f t="array" ref="B22">IFERROR(INDEX(貼付シート!$B$1:$B$10000,SMALL(貼付シート!$A$1:$A$10000,C22)+1),"")</f>
        <v>【002000 営業第一課　　　　　】</v>
      </c>
      <c r="C22" s="1">
        <v>21</v>
      </c>
      <c r="D22" s="1" t="str">
        <f t="shared" si="0"/>
        <v>EMP-00202</v>
      </c>
      <c r="E22" s="1" t="str">
        <f t="shared" si="1"/>
        <v>小林　真由美</v>
      </c>
      <c r="F22" s="1" t="str">
        <f t="shared" si="2"/>
        <v>2024/06/26</v>
      </c>
      <c r="G22" s="1" t="str">
        <f t="shared" si="3"/>
        <v>株式会社大和運輸</v>
      </c>
      <c r="H22" s="1" t="str">
        <f t="shared" si="4"/>
        <v xml:space="preserve"> 002000</v>
      </c>
      <c r="I22" s="1" t="str">
        <f t="shared" si="5"/>
        <v>営業第一課</v>
      </c>
      <c r="J22" s="1">
        <f t="shared" si="6"/>
        <v>42000</v>
      </c>
      <c r="K22" s="1" t="str">
        <f t="shared" si="7"/>
        <v>梱包資材</v>
      </c>
    </row>
    <row r="23" spans="1:11" x14ac:dyDescent="0.7">
      <c r="A23" s="2" t="str" cm="1">
        <f t="array" ref="A23">IFERROR(INDEX(貼付シート!$D$1:$D$10000,SMALL(貼付シート!$A$1:$A$10000,C23)),"")</f>
        <v>EMP-00203 松本　裕也　　　　　 2024/06/06 株式会社西日本工業　　　　　　　     290000 設備部品納品</v>
      </c>
      <c r="B23" s="2" t="str" cm="1">
        <f t="array" ref="B23">IFERROR(INDEX(貼付シート!$B$1:$B$10000,SMALL(貼付シート!$A$1:$A$10000,C23)+1),"")</f>
        <v>【002000 営業第一課　　　　　】</v>
      </c>
      <c r="C23" s="1">
        <v>22</v>
      </c>
      <c r="D23" s="1" t="str">
        <f t="shared" si="0"/>
        <v>EMP-00203</v>
      </c>
      <c r="E23" s="1" t="str">
        <f t="shared" si="1"/>
        <v>松本　裕也</v>
      </c>
      <c r="F23" s="1" t="str">
        <f t="shared" si="2"/>
        <v>2024/06/06</v>
      </c>
      <c r="G23" s="1" t="str">
        <f t="shared" si="3"/>
        <v>株式会社西日本工業</v>
      </c>
      <c r="H23" s="1" t="str">
        <f t="shared" si="4"/>
        <v xml:space="preserve"> 002000</v>
      </c>
      <c r="I23" s="1" t="str">
        <f t="shared" si="5"/>
        <v>営業第一課</v>
      </c>
      <c r="J23" s="1">
        <f t="shared" si="6"/>
        <v>290000</v>
      </c>
      <c r="K23" s="1" t="str">
        <f t="shared" si="7"/>
        <v>設備部品納品</v>
      </c>
    </row>
    <row r="24" spans="1:11" x14ac:dyDescent="0.7">
      <c r="A24" s="2" t="str" cm="1">
        <f t="array" ref="A24">IFERROR(INDEX(貼付シート!$D$1:$D$10000,SMALL(貼付シート!$A$1:$A$10000,C24)),"")</f>
        <v>EMP-00203 松本　裕也　　　　　 2024/06/14 合同会社グローバル通商　　　　　     156000 通関手数料</v>
      </c>
      <c r="B24" s="2" t="str" cm="1">
        <f t="array" ref="B24">IFERROR(INDEX(貼付シート!$B$1:$B$10000,SMALL(貼付シート!$A$1:$A$10000,C24)+1),"")</f>
        <v>【002000 営業第一課　　　　　】</v>
      </c>
      <c r="C24" s="1">
        <v>23</v>
      </c>
      <c r="D24" s="1" t="str">
        <f t="shared" si="0"/>
        <v>EMP-00203</v>
      </c>
      <c r="E24" s="1" t="str">
        <f t="shared" si="1"/>
        <v>松本　裕也</v>
      </c>
      <c r="F24" s="1" t="str">
        <f t="shared" si="2"/>
        <v>2024/06/14</v>
      </c>
      <c r="G24" s="1" t="str">
        <f t="shared" si="3"/>
        <v>合同会社グローバル通商</v>
      </c>
      <c r="H24" s="1" t="str">
        <f t="shared" si="4"/>
        <v xml:space="preserve"> 002000</v>
      </c>
      <c r="I24" s="1" t="str">
        <f t="shared" si="5"/>
        <v>営業第一課</v>
      </c>
      <c r="J24" s="1">
        <f t="shared" si="6"/>
        <v>156000</v>
      </c>
      <c r="K24" s="1" t="str">
        <f t="shared" si="7"/>
        <v>通関手数料</v>
      </c>
    </row>
    <row r="25" spans="1:11" x14ac:dyDescent="0.7">
      <c r="A25" s="2" t="str" cm="1">
        <f t="array" ref="A25">IFERROR(INDEX(貼付シート!$D$1:$D$10000,SMALL(貼付シート!$A$1:$A$10000,C25)),"")</f>
        <v>EMP-00203 松本　裕也　　　　　 2024/06/21 有限会社丸山製作所　　　　　　　      88000 検査費用</v>
      </c>
      <c r="B25" s="2" t="str" cm="1">
        <f t="array" ref="B25">IFERROR(INDEX(貼付シート!$B$1:$B$10000,SMALL(貼付シート!$A$1:$A$10000,C25)+1),"")</f>
        <v>【002000 営業第一課　　　　　】</v>
      </c>
      <c r="C25" s="1">
        <v>24</v>
      </c>
      <c r="D25" s="1" t="str">
        <f t="shared" si="0"/>
        <v>EMP-00203</v>
      </c>
      <c r="E25" s="1" t="str">
        <f t="shared" si="1"/>
        <v>松本　裕也</v>
      </c>
      <c r="F25" s="1" t="str">
        <f t="shared" si="2"/>
        <v>2024/06/21</v>
      </c>
      <c r="G25" s="1" t="str">
        <f t="shared" si="3"/>
        <v>有限会社丸山製作所</v>
      </c>
      <c r="H25" s="1" t="str">
        <f t="shared" si="4"/>
        <v xml:space="preserve"> 002000</v>
      </c>
      <c r="I25" s="1" t="str">
        <f t="shared" si="5"/>
        <v>営業第一課</v>
      </c>
      <c r="J25" s="1">
        <f t="shared" si="6"/>
        <v>88000</v>
      </c>
      <c r="K25" s="1" t="str">
        <f t="shared" si="7"/>
        <v>検査費用</v>
      </c>
    </row>
    <row r="26" spans="1:11" x14ac:dyDescent="0.7">
      <c r="A26" s="2" t="str" cm="1">
        <f t="array" ref="A26">IFERROR(INDEX(貼付シート!$D$1:$D$10000,SMALL(貼付シート!$A$1:$A$10000,C26)),"")</f>
        <v>EMP-00204 吉田　あかり　　　　 2024/06/10 株式会社大和運輸　　　　　　　　      67000 特急配送料</v>
      </c>
      <c r="B26" s="2" t="str" cm="1">
        <f t="array" ref="B26">IFERROR(INDEX(貼付シート!$B$1:$B$10000,SMALL(貼付シート!$A$1:$A$10000,C26)+1),"")</f>
        <v>【002000 営業第一課　　　　　】（つづき）</v>
      </c>
      <c r="C26" s="1">
        <v>25</v>
      </c>
      <c r="D26" s="1" t="str">
        <f t="shared" si="0"/>
        <v>EMP-00204</v>
      </c>
      <c r="E26" s="1" t="str">
        <f t="shared" si="1"/>
        <v>吉田　あかり</v>
      </c>
      <c r="F26" s="1" t="str">
        <f t="shared" si="2"/>
        <v>2024/06/10</v>
      </c>
      <c r="G26" s="1" t="str">
        <f t="shared" si="3"/>
        <v>株式会社大和運輸</v>
      </c>
      <c r="H26" s="1" t="str">
        <f t="shared" si="4"/>
        <v xml:space="preserve"> 002000</v>
      </c>
      <c r="I26" s="1" t="str">
        <f t="shared" si="5"/>
        <v>営業第一課</v>
      </c>
      <c r="J26" s="1">
        <f t="shared" si="6"/>
        <v>67000</v>
      </c>
      <c r="K26" s="1" t="str">
        <f t="shared" si="7"/>
        <v>特急配送料</v>
      </c>
    </row>
    <row r="27" spans="1:11" x14ac:dyDescent="0.7">
      <c r="A27" s="2" t="str" cm="1">
        <f t="array" ref="A27">IFERROR(INDEX(貼付シート!$D$1:$D$10000,SMALL(貼付シート!$A$1:$A$10000,C27)),"")</f>
        <v>EMP-00204 吉田　あかり　　　　 2024/06/23 株式会社西日本工業　　　　　　　     198000 追加発注分</v>
      </c>
      <c r="B27" s="2" t="str" cm="1">
        <f t="array" ref="B27">IFERROR(INDEX(貼付シート!$B$1:$B$10000,SMALL(貼付シート!$A$1:$A$10000,C27)+1),"")</f>
        <v>【002000 営業第一課　　　　　】（つづき）</v>
      </c>
      <c r="C27" s="1">
        <v>26</v>
      </c>
      <c r="D27" s="1" t="str">
        <f t="shared" si="0"/>
        <v>EMP-00204</v>
      </c>
      <c r="E27" s="1" t="str">
        <f t="shared" si="1"/>
        <v>吉田　あかり</v>
      </c>
      <c r="F27" s="1" t="str">
        <f t="shared" si="2"/>
        <v>2024/06/23</v>
      </c>
      <c r="G27" s="1" t="str">
        <f t="shared" si="3"/>
        <v>株式会社西日本工業</v>
      </c>
      <c r="H27" s="1" t="str">
        <f t="shared" si="4"/>
        <v xml:space="preserve"> 002000</v>
      </c>
      <c r="I27" s="1" t="str">
        <f t="shared" si="5"/>
        <v>営業第一課</v>
      </c>
      <c r="J27" s="1">
        <f t="shared" si="6"/>
        <v>198000</v>
      </c>
      <c r="K27" s="1" t="str">
        <f t="shared" si="7"/>
        <v>追加発注分</v>
      </c>
    </row>
    <row r="28" spans="1:11" x14ac:dyDescent="0.7">
      <c r="A28" s="2" t="str" cm="1">
        <f t="array" ref="A28">IFERROR(INDEX(貼付シート!$D$1:$D$10000,SMALL(貼付シート!$A$1:$A$10000,C28)),"")</f>
        <v>EMP-00204 吉田　あかり　　　　 2024/06/29 合同会社グローバル通商　　　　　     310000 海外送金手数料</v>
      </c>
      <c r="B28" s="2" t="str" cm="1">
        <f t="array" ref="B28">IFERROR(INDEX(貼付シート!$B$1:$B$10000,SMALL(貼付シート!$A$1:$A$10000,C28)+1),"")</f>
        <v>【002000 営業第一課　　　　　】（つづき）</v>
      </c>
      <c r="C28" s="1">
        <v>27</v>
      </c>
      <c r="D28" s="1" t="str">
        <f t="shared" si="0"/>
        <v>EMP-00204</v>
      </c>
      <c r="E28" s="1" t="str">
        <f t="shared" si="1"/>
        <v>吉田　あかり</v>
      </c>
      <c r="F28" s="1" t="str">
        <f t="shared" si="2"/>
        <v>2024/06/29</v>
      </c>
      <c r="G28" s="1" t="str">
        <f t="shared" si="3"/>
        <v>合同会社グローバル通商</v>
      </c>
      <c r="H28" s="1" t="str">
        <f t="shared" si="4"/>
        <v xml:space="preserve"> 002000</v>
      </c>
      <c r="I28" s="1" t="str">
        <f t="shared" si="5"/>
        <v>営業第一課</v>
      </c>
      <c r="J28" s="1">
        <f t="shared" si="6"/>
        <v>310000</v>
      </c>
      <c r="K28" s="1" t="str">
        <f t="shared" si="7"/>
        <v>海外送金手数料</v>
      </c>
    </row>
    <row r="29" spans="1:11" x14ac:dyDescent="0.7">
      <c r="A29" s="2" t="str" cm="1">
        <f t="array" ref="A29">IFERROR(INDEX(貼付シート!$D$1:$D$10000,SMALL(貼付シート!$A$1:$A$10000,C29)),"")</f>
        <v>EMP-00301 山本　拓海　　　　　 2024/06/01 株式会社千代田電機　　　　　　　     178000 電気部品納品</v>
      </c>
      <c r="B29" s="2" t="str" cm="1">
        <f t="array" ref="B29">IFERROR(INDEX(貼付シート!$B$1:$B$10000,SMALL(貼付シート!$A$1:$A$10000,C29)+1),"")</f>
        <v>【003000 営業第二課　　　　　】</v>
      </c>
      <c r="C29" s="1">
        <v>28</v>
      </c>
      <c r="D29" s="1" t="str">
        <f t="shared" si="0"/>
        <v>EMP-00301</v>
      </c>
      <c r="E29" s="1" t="str">
        <f t="shared" si="1"/>
        <v>山本　拓海</v>
      </c>
      <c r="F29" s="1" t="str">
        <f t="shared" si="2"/>
        <v>2024/06/01</v>
      </c>
      <c r="G29" s="1" t="str">
        <f t="shared" si="3"/>
        <v>株式会社千代田電機</v>
      </c>
      <c r="H29" s="1" t="str">
        <f t="shared" si="4"/>
        <v xml:space="preserve"> 003000</v>
      </c>
      <c r="I29" s="1" t="str">
        <f t="shared" si="5"/>
        <v>営業第二課</v>
      </c>
      <c r="J29" s="1">
        <f t="shared" si="6"/>
        <v>178000</v>
      </c>
      <c r="K29" s="1" t="str">
        <f t="shared" si="7"/>
        <v>電気部品納品</v>
      </c>
    </row>
    <row r="30" spans="1:11" x14ac:dyDescent="0.7">
      <c r="A30" s="2" t="str" cm="1">
        <f t="array" ref="A30">IFERROR(INDEX(貼付シート!$D$1:$D$10000,SMALL(貼付シート!$A$1:$A$10000,C30)),"")</f>
        <v>EMP-00301 山本　拓海　　　　　 2024/06/08 有限会社光陽産業　　　　　　　　      93000 樹脂成形品</v>
      </c>
      <c r="B30" s="2" t="str" cm="1">
        <f t="array" ref="B30">IFERROR(INDEX(貼付シート!$B$1:$B$10000,SMALL(貼付シート!$A$1:$A$10000,C30)+1),"")</f>
        <v>【003000 営業第二課　　　　　】</v>
      </c>
      <c r="C30" s="1">
        <v>29</v>
      </c>
      <c r="D30" s="1" t="str">
        <f t="shared" si="0"/>
        <v>EMP-00301</v>
      </c>
      <c r="E30" s="1" t="str">
        <f t="shared" si="1"/>
        <v>山本　拓海</v>
      </c>
      <c r="F30" s="1" t="str">
        <f t="shared" si="2"/>
        <v>2024/06/08</v>
      </c>
      <c r="G30" s="1" t="str">
        <f t="shared" si="3"/>
        <v>有限会社光陽産業</v>
      </c>
      <c r="H30" s="1" t="str">
        <f t="shared" si="4"/>
        <v xml:space="preserve"> 003000</v>
      </c>
      <c r="I30" s="1" t="str">
        <f t="shared" si="5"/>
        <v>営業第二課</v>
      </c>
      <c r="J30" s="1">
        <f t="shared" si="6"/>
        <v>93000</v>
      </c>
      <c r="K30" s="1" t="str">
        <f t="shared" si="7"/>
        <v>樹脂成形品</v>
      </c>
    </row>
    <row r="31" spans="1:11" x14ac:dyDescent="0.7">
      <c r="A31" s="2" t="str" cm="1">
        <f t="array" ref="A31">IFERROR(INDEX(貼付シート!$D$1:$D$10000,SMALL(貼付シート!$A$1:$A$10000,C31)),"")</f>
        <v>EMP-00301 山本　拓海　　　　　 2024/06/17 株式会社千代田電機　　　　　　　     245000 制御盤製作</v>
      </c>
      <c r="B31" s="2" t="str" cm="1">
        <f t="array" ref="B31">IFERROR(INDEX(貼付シート!$B$1:$B$10000,SMALL(貼付シート!$A$1:$A$10000,C31)+1),"")</f>
        <v>【003000 営業第二課　　　　　】</v>
      </c>
      <c r="C31" s="1">
        <v>30</v>
      </c>
      <c r="D31" s="1" t="str">
        <f t="shared" si="0"/>
        <v>EMP-00301</v>
      </c>
      <c r="E31" s="1" t="str">
        <f t="shared" si="1"/>
        <v>山本　拓海</v>
      </c>
      <c r="F31" s="1" t="str">
        <f t="shared" si="2"/>
        <v>2024/06/17</v>
      </c>
      <c r="G31" s="1" t="str">
        <f t="shared" si="3"/>
        <v>株式会社千代田電機</v>
      </c>
      <c r="H31" s="1" t="str">
        <f t="shared" si="4"/>
        <v xml:space="preserve"> 003000</v>
      </c>
      <c r="I31" s="1" t="str">
        <f t="shared" si="5"/>
        <v>営業第二課</v>
      </c>
      <c r="J31" s="1">
        <f t="shared" si="6"/>
        <v>245000</v>
      </c>
      <c r="K31" s="1" t="str">
        <f t="shared" si="7"/>
        <v>制御盤製作</v>
      </c>
    </row>
    <row r="32" spans="1:11" x14ac:dyDescent="0.7">
      <c r="A32" s="2" t="str" cm="1">
        <f t="array" ref="A32">IFERROR(INDEX(貼付シート!$D$1:$D$10000,SMALL(貼付シート!$A$1:$A$10000,C32)),"")</f>
        <v>EMP-00301 山本　拓海　　　　　 2024/06/24 合同会社みらい技研　　　　　　　      56000 技術資料作成</v>
      </c>
      <c r="B32" s="2" t="str" cm="1">
        <f t="array" ref="B32">IFERROR(INDEX(貼付シート!$B$1:$B$10000,SMALL(貼付シート!$A$1:$A$10000,C32)+1),"")</f>
        <v>【003000 営業第二課　　　　　】</v>
      </c>
      <c r="C32" s="1">
        <v>31</v>
      </c>
      <c r="D32" s="1" t="str">
        <f t="shared" si="0"/>
        <v>EMP-00301</v>
      </c>
      <c r="E32" s="1" t="str">
        <f t="shared" si="1"/>
        <v>山本　拓海</v>
      </c>
      <c r="F32" s="1" t="str">
        <f t="shared" si="2"/>
        <v>2024/06/24</v>
      </c>
      <c r="G32" s="1" t="str">
        <f t="shared" si="3"/>
        <v>合同会社みらい技研</v>
      </c>
      <c r="H32" s="1" t="str">
        <f t="shared" si="4"/>
        <v xml:space="preserve"> 003000</v>
      </c>
      <c r="I32" s="1" t="str">
        <f t="shared" si="5"/>
        <v>営業第二課</v>
      </c>
      <c r="J32" s="1">
        <f t="shared" si="6"/>
        <v>56000</v>
      </c>
      <c r="K32" s="1" t="str">
        <f t="shared" si="7"/>
        <v>技術資料作成</v>
      </c>
    </row>
    <row r="33" spans="1:11" x14ac:dyDescent="0.7">
      <c r="A33" s="2" t="str" cm="1">
        <f t="array" ref="A33">IFERROR(INDEX(貼付シート!$D$1:$D$10000,SMALL(貼付シート!$A$1:$A$10000,C33)),"")</f>
        <v>EMP-00302 井上　さくら　　　　 2024/06/03 有限会社光陽産業　　　　　　　　     132000 金属加工品</v>
      </c>
      <c r="B33" s="2" t="str" cm="1">
        <f t="array" ref="B33">IFERROR(INDEX(貼付シート!$B$1:$B$10000,SMALL(貼付シート!$A$1:$A$10000,C33)+1),"")</f>
        <v>【003000 営業第二課　　　　　】</v>
      </c>
      <c r="C33" s="1">
        <v>32</v>
      </c>
      <c r="D33" s="1" t="str">
        <f t="shared" si="0"/>
        <v>EMP-00302</v>
      </c>
      <c r="E33" s="1" t="str">
        <f t="shared" si="1"/>
        <v>井上　さくら</v>
      </c>
      <c r="F33" s="1" t="str">
        <f t="shared" si="2"/>
        <v>2024/06/03</v>
      </c>
      <c r="G33" s="1" t="str">
        <f t="shared" si="3"/>
        <v>有限会社光陽産業</v>
      </c>
      <c r="H33" s="1" t="str">
        <f t="shared" si="4"/>
        <v xml:space="preserve"> 003000</v>
      </c>
      <c r="I33" s="1" t="str">
        <f t="shared" si="5"/>
        <v>営業第二課</v>
      </c>
      <c r="J33" s="1">
        <f t="shared" si="6"/>
        <v>132000</v>
      </c>
      <c r="K33" s="1" t="str">
        <f t="shared" si="7"/>
        <v>金属加工品</v>
      </c>
    </row>
    <row r="34" spans="1:11" x14ac:dyDescent="0.7">
      <c r="A34" s="2" t="str" cm="1">
        <f t="array" ref="A34">IFERROR(INDEX(貼付シート!$D$1:$D$10000,SMALL(貼付シート!$A$1:$A$10000,C34)),"")</f>
        <v>EMP-00302 井上　さくら　　　　 2024/06/11 株式会社千代田電機　　　　　　　      67000 配線部材</v>
      </c>
      <c r="B34" s="2" t="str" cm="1">
        <f t="array" ref="B34">IFERROR(INDEX(貼付シート!$B$1:$B$10000,SMALL(貼付シート!$A$1:$A$10000,C34)+1),"")</f>
        <v>【003000 営業第二課　　　　　】（つづき）</v>
      </c>
      <c r="C34" s="1">
        <v>33</v>
      </c>
      <c r="D34" s="1" t="str">
        <f t="shared" ref="D34:D65" si="8">MIDB(A34,1,9)</f>
        <v>EMP-00302</v>
      </c>
      <c r="E34" s="1" t="str">
        <f t="shared" si="1"/>
        <v>井上　さくら</v>
      </c>
      <c r="F34" s="1" t="str">
        <f t="shared" si="2"/>
        <v>2024/06/11</v>
      </c>
      <c r="G34" s="1" t="str">
        <f t="shared" si="3"/>
        <v>株式会社千代田電機</v>
      </c>
      <c r="H34" s="1" t="str">
        <f t="shared" si="4"/>
        <v xml:space="preserve"> 003000</v>
      </c>
      <c r="I34" s="1" t="str">
        <f t="shared" si="5"/>
        <v>営業第二課</v>
      </c>
      <c r="J34" s="1">
        <f t="shared" si="6"/>
        <v>67000</v>
      </c>
      <c r="K34" s="1" t="str">
        <f t="shared" si="7"/>
        <v>配線部材</v>
      </c>
    </row>
    <row r="35" spans="1:11" x14ac:dyDescent="0.7">
      <c r="A35" s="2" t="str" cm="1">
        <f t="array" ref="A35">IFERROR(INDEX(貼付シート!$D$1:$D$10000,SMALL(貼付シート!$A$1:$A$10000,C35)),"")</f>
        <v>EMP-00302 井上　さくら　　　　 2024/06/20 合同会社みらい技研　　　　　　　     205000 設計委託費</v>
      </c>
      <c r="B35" s="2" t="str" cm="1">
        <f t="array" ref="B35">IFERROR(INDEX(貼付シート!$B$1:$B$10000,SMALL(貼付シート!$A$1:$A$10000,C35)+1),"")</f>
        <v>【003000 営業第二課　　　　　】（つづき）</v>
      </c>
      <c r="C35" s="1">
        <v>34</v>
      </c>
      <c r="D35" s="1" t="str">
        <f t="shared" si="8"/>
        <v>EMP-00302</v>
      </c>
      <c r="E35" s="1" t="str">
        <f t="shared" si="1"/>
        <v>井上　さくら</v>
      </c>
      <c r="F35" s="1" t="str">
        <f t="shared" si="2"/>
        <v>2024/06/20</v>
      </c>
      <c r="G35" s="1" t="str">
        <f t="shared" si="3"/>
        <v>合同会社みらい技研</v>
      </c>
      <c r="H35" s="1" t="str">
        <f t="shared" si="4"/>
        <v xml:space="preserve"> 003000</v>
      </c>
      <c r="I35" s="1" t="str">
        <f t="shared" si="5"/>
        <v>営業第二課</v>
      </c>
      <c r="J35" s="1">
        <f t="shared" si="6"/>
        <v>205000</v>
      </c>
      <c r="K35" s="1" t="str">
        <f t="shared" si="7"/>
        <v>設計委託費</v>
      </c>
    </row>
    <row r="36" spans="1:11" x14ac:dyDescent="0.7">
      <c r="A36" s="2" t="str" cm="1">
        <f t="array" ref="A36">IFERROR(INDEX(貼付シート!$D$1:$D$10000,SMALL(貼付シート!$A$1:$A$10000,C36)),"")</f>
        <v>EMP-00303 木村　蓮　　　　　　 2024/06/05 株式会社千代田電機　　　　　　　     310000 変圧器納品</v>
      </c>
      <c r="B36" s="2" t="str" cm="1">
        <f t="array" ref="B36">IFERROR(INDEX(貼付シート!$B$1:$B$10000,SMALL(貼付シート!$A$1:$A$10000,C36)+1),"")</f>
        <v>【003000 営業第二課　　　　　】（つづき）</v>
      </c>
      <c r="C36" s="1">
        <v>35</v>
      </c>
      <c r="D36" s="1" t="str">
        <f t="shared" si="8"/>
        <v>EMP-00303</v>
      </c>
      <c r="E36" s="1" t="str">
        <f t="shared" si="1"/>
        <v>木村　蓮</v>
      </c>
      <c r="F36" s="1" t="str">
        <f t="shared" si="2"/>
        <v>2024/06/05</v>
      </c>
      <c r="G36" s="1" t="str">
        <f t="shared" si="3"/>
        <v>株式会社千代田電機</v>
      </c>
      <c r="H36" s="1" t="str">
        <f t="shared" si="4"/>
        <v xml:space="preserve"> 003000</v>
      </c>
      <c r="I36" s="1" t="str">
        <f t="shared" si="5"/>
        <v>営業第二課</v>
      </c>
      <c r="J36" s="1">
        <f t="shared" si="6"/>
        <v>310000</v>
      </c>
      <c r="K36" s="1" t="str">
        <f t="shared" si="7"/>
        <v>変圧器納品</v>
      </c>
    </row>
    <row r="37" spans="1:11" x14ac:dyDescent="0.7">
      <c r="A37" s="2" t="str" cm="1">
        <f t="array" ref="A37">IFERROR(INDEX(貼付シート!$D$1:$D$10000,SMALL(貼付シート!$A$1:$A$10000,C37)),"")</f>
        <v>EMP-00303 木村　蓮　　　　　　 2024/06/15 有限会社光陽産業　　　　　　　　      88000 試作品費用</v>
      </c>
      <c r="B37" s="2" t="str" cm="1">
        <f t="array" ref="B37">IFERROR(INDEX(貼付シート!$B$1:$B$10000,SMALL(貼付シート!$A$1:$A$10000,C37)+1),"")</f>
        <v>【003000 営業第二課　　　　　】（つづき）</v>
      </c>
      <c r="C37" s="1">
        <v>36</v>
      </c>
      <c r="D37" s="1" t="str">
        <f t="shared" si="8"/>
        <v>EMP-00303</v>
      </c>
      <c r="E37" s="1" t="str">
        <f t="shared" si="1"/>
        <v>木村　蓮</v>
      </c>
      <c r="F37" s="1" t="str">
        <f t="shared" si="2"/>
        <v>2024/06/15</v>
      </c>
      <c r="G37" s="1" t="str">
        <f t="shared" si="3"/>
        <v>有限会社光陽産業</v>
      </c>
      <c r="H37" s="1" t="str">
        <f t="shared" si="4"/>
        <v xml:space="preserve"> 003000</v>
      </c>
      <c r="I37" s="1" t="str">
        <f t="shared" si="5"/>
        <v>営業第二課</v>
      </c>
      <c r="J37" s="1">
        <f t="shared" si="6"/>
        <v>88000</v>
      </c>
      <c r="K37" s="1" t="str">
        <f t="shared" si="7"/>
        <v>試作品費用</v>
      </c>
    </row>
    <row r="38" spans="1:11" x14ac:dyDescent="0.7">
      <c r="A38" s="2" t="str" cm="1">
        <f t="array" ref="A38">IFERROR(INDEX(貼付シート!$D$1:$D$10000,SMALL(貼付シート!$A$1:$A$10000,C38)),"")</f>
        <v>EMP-00303 木村　蓮　　　　　　 2024/06/22 合同会社みらい技研　　　　　　　     147000 評価試験費</v>
      </c>
      <c r="B38" s="2" t="str" cm="1">
        <f t="array" ref="B38">IFERROR(INDEX(貼付シート!$B$1:$B$10000,SMALL(貼付シート!$A$1:$A$10000,C38)+1),"")</f>
        <v>【003000 営業第二課　　　　　】（つづき）</v>
      </c>
      <c r="C38" s="1">
        <v>37</v>
      </c>
      <c r="D38" s="1" t="str">
        <f t="shared" si="8"/>
        <v>EMP-00303</v>
      </c>
      <c r="E38" s="1" t="str">
        <f t="shared" si="1"/>
        <v>木村　蓮</v>
      </c>
      <c r="F38" s="1" t="str">
        <f t="shared" si="2"/>
        <v>2024/06/22</v>
      </c>
      <c r="G38" s="1" t="str">
        <f t="shared" si="3"/>
        <v>合同会社みらい技研</v>
      </c>
      <c r="H38" s="1" t="str">
        <f t="shared" si="4"/>
        <v xml:space="preserve"> 003000</v>
      </c>
      <c r="I38" s="1" t="str">
        <f t="shared" si="5"/>
        <v>営業第二課</v>
      </c>
      <c r="J38" s="1">
        <f t="shared" si="6"/>
        <v>147000</v>
      </c>
      <c r="K38" s="1" t="str">
        <f t="shared" si="7"/>
        <v>評価試験費</v>
      </c>
    </row>
    <row r="39" spans="1:11" x14ac:dyDescent="0.7">
      <c r="A39" s="2" t="str" cm="1">
        <f t="array" ref="A39">IFERROR(INDEX(貼付シート!$D$1:$D$10000,SMALL(貼付シート!$A$1:$A$10000,C39)),"")</f>
        <v>EMP-00303 木村　蓮　　　　　　 2024/06/28 株式会社千代田電機　　　　　　　      42000 端子台発注</v>
      </c>
      <c r="B39" s="2" t="str" cm="1">
        <f t="array" ref="B39">IFERROR(INDEX(貼付シート!$B$1:$B$10000,SMALL(貼付シート!$A$1:$A$10000,C39)+1),"")</f>
        <v>【003000 営業第二課　　　　　】（つづき）</v>
      </c>
      <c r="C39" s="1">
        <v>38</v>
      </c>
      <c r="D39" s="1" t="str">
        <f t="shared" si="8"/>
        <v>EMP-00303</v>
      </c>
      <c r="E39" s="1" t="str">
        <f t="shared" si="1"/>
        <v>木村　蓮</v>
      </c>
      <c r="F39" s="1" t="str">
        <f t="shared" si="2"/>
        <v>2024/06/28</v>
      </c>
      <c r="G39" s="1" t="str">
        <f t="shared" si="3"/>
        <v>株式会社千代田電機</v>
      </c>
      <c r="H39" s="1" t="str">
        <f t="shared" si="4"/>
        <v xml:space="preserve"> 003000</v>
      </c>
      <c r="I39" s="1" t="str">
        <f t="shared" si="5"/>
        <v>営業第二課</v>
      </c>
      <c r="J39" s="1">
        <f t="shared" si="6"/>
        <v>42000</v>
      </c>
      <c r="K39" s="1" t="str">
        <f t="shared" si="7"/>
        <v>端子台発注</v>
      </c>
    </row>
    <row r="40" spans="1:11" x14ac:dyDescent="0.7">
      <c r="A40" s="2" t="str" cm="1">
        <f t="array" ref="A40">IFERROR(INDEX(貼付シート!$D$1:$D$10000,SMALL(貼付シート!$A$1:$A$10000,C40)),"")</f>
        <v>EMP-00401 加藤　雄大　　　　　 2024/06/02 株式会社三河鉄工　　　　　　　　     520000 鋼材仕入</v>
      </c>
      <c r="B40" s="2" t="str" cm="1">
        <f t="array" ref="B40">IFERROR(INDEX(貼付シート!$B$1:$B$10000,SMALL(貼付シート!$A$1:$A$10000,C40)+1),"")</f>
        <v>【004000 製造部　　　　　　　】</v>
      </c>
      <c r="C40" s="1">
        <v>39</v>
      </c>
      <c r="D40" s="1" t="str">
        <f t="shared" si="8"/>
        <v>EMP-00401</v>
      </c>
      <c r="E40" s="1" t="str">
        <f t="shared" si="1"/>
        <v>加藤　雄大</v>
      </c>
      <c r="F40" s="1" t="str">
        <f t="shared" si="2"/>
        <v>2024/06/02</v>
      </c>
      <c r="G40" s="1" t="str">
        <f t="shared" si="3"/>
        <v>株式会社三河鉄工</v>
      </c>
      <c r="H40" s="1" t="str">
        <f t="shared" si="4"/>
        <v xml:space="preserve"> 004000</v>
      </c>
      <c r="I40" s="1" t="str">
        <f t="shared" si="5"/>
        <v>製造部</v>
      </c>
      <c r="J40" s="1">
        <f t="shared" si="6"/>
        <v>520000</v>
      </c>
      <c r="K40" s="1" t="str">
        <f t="shared" si="7"/>
        <v>鋼材仕入</v>
      </c>
    </row>
    <row r="41" spans="1:11" x14ac:dyDescent="0.7">
      <c r="A41" s="2" t="str" cm="1">
        <f t="array" ref="A41">IFERROR(INDEX(貼付シート!$D$1:$D$10000,SMALL(貼付シート!$A$1:$A$10000,C41)),"")</f>
        <v>EMP-00401 加藤　雄大　　　　　 2024/06/07 有限会社富士化学工業　　　　　　     183000 溶剤購入</v>
      </c>
      <c r="B41" s="2" t="str" cm="1">
        <f t="array" ref="B41">IFERROR(INDEX(貼付シート!$B$1:$B$10000,SMALL(貼付シート!$A$1:$A$10000,C41)+1),"")</f>
        <v>【004000 製造部　　　　　　　】</v>
      </c>
      <c r="C41" s="1">
        <v>40</v>
      </c>
      <c r="D41" s="1" t="str">
        <f t="shared" si="8"/>
        <v>EMP-00401</v>
      </c>
      <c r="E41" s="1" t="str">
        <f t="shared" si="1"/>
        <v>加藤　雄大</v>
      </c>
      <c r="F41" s="1" t="str">
        <f t="shared" si="2"/>
        <v>2024/06/07</v>
      </c>
      <c r="G41" s="1" t="str">
        <f t="shared" si="3"/>
        <v>有限会社富士化学工業</v>
      </c>
      <c r="H41" s="1" t="str">
        <f t="shared" si="4"/>
        <v xml:space="preserve"> 004000</v>
      </c>
      <c r="I41" s="1" t="str">
        <f t="shared" si="5"/>
        <v>製造部</v>
      </c>
      <c r="J41" s="1">
        <f t="shared" si="6"/>
        <v>183000</v>
      </c>
      <c r="K41" s="1" t="str">
        <f t="shared" si="7"/>
        <v>溶剤購入</v>
      </c>
    </row>
    <row r="42" spans="1:11" x14ac:dyDescent="0.7">
      <c r="A42" s="2" t="str" cm="1">
        <f t="array" ref="A42">IFERROR(INDEX(貼付シート!$D$1:$D$10000,SMALL(貼付シート!$A$1:$A$10000,C42)),"")</f>
        <v>EMP-00401 加藤　雄大　　　　　 2024/06/14 株式会社三河鉄工　　　　　　　　     275000 特殊鋼材追加</v>
      </c>
      <c r="B42" s="2" t="str" cm="1">
        <f t="array" ref="B42">IFERROR(INDEX(貼付シート!$B$1:$B$10000,SMALL(貼付シート!$A$1:$A$10000,C42)+1),"")</f>
        <v>【004000 製造部　　　　　　　】</v>
      </c>
      <c r="C42" s="1">
        <v>41</v>
      </c>
      <c r="D42" s="1" t="str">
        <f t="shared" si="8"/>
        <v>EMP-00401</v>
      </c>
      <c r="E42" s="1" t="str">
        <f t="shared" si="1"/>
        <v>加藤　雄大</v>
      </c>
      <c r="F42" s="1" t="str">
        <f t="shared" si="2"/>
        <v>2024/06/14</v>
      </c>
      <c r="G42" s="1" t="str">
        <f t="shared" si="3"/>
        <v>株式会社三河鉄工</v>
      </c>
      <c r="H42" s="1" t="str">
        <f t="shared" si="4"/>
        <v xml:space="preserve"> 004000</v>
      </c>
      <c r="I42" s="1" t="str">
        <f t="shared" si="5"/>
        <v>製造部</v>
      </c>
      <c r="J42" s="1">
        <f t="shared" si="6"/>
        <v>275000</v>
      </c>
      <c r="K42" s="1" t="str">
        <f t="shared" si="7"/>
        <v>特殊鋼材追加</v>
      </c>
    </row>
    <row r="43" spans="1:11" x14ac:dyDescent="0.7">
      <c r="A43" s="2" t="str" cm="1">
        <f t="array" ref="A43">IFERROR(INDEX(貼付シート!$D$1:$D$10000,SMALL(貼付シート!$A$1:$A$10000,C43)),"")</f>
        <v>EMP-00401 加藤　雄大　　　　　 2024/06/21 合同会社精密工機　　　　　　　　     148000 切削工具</v>
      </c>
      <c r="B43" s="2" t="str" cm="1">
        <f t="array" ref="B43">IFERROR(INDEX(貼付シート!$B$1:$B$10000,SMALL(貼付シート!$A$1:$A$10000,C43)+1),"")</f>
        <v>【004000 製造部　　　　　　　】</v>
      </c>
      <c r="C43" s="1">
        <v>42</v>
      </c>
      <c r="D43" s="1" t="str">
        <f t="shared" si="8"/>
        <v>EMP-00401</v>
      </c>
      <c r="E43" s="1" t="str">
        <f t="shared" si="1"/>
        <v>加藤　雄大</v>
      </c>
      <c r="F43" s="1" t="str">
        <f t="shared" si="2"/>
        <v>2024/06/21</v>
      </c>
      <c r="G43" s="1" t="str">
        <f t="shared" si="3"/>
        <v>合同会社精密工機</v>
      </c>
      <c r="H43" s="1" t="str">
        <f t="shared" si="4"/>
        <v xml:space="preserve"> 004000</v>
      </c>
      <c r="I43" s="1" t="str">
        <f t="shared" si="5"/>
        <v>製造部</v>
      </c>
      <c r="J43" s="1">
        <f t="shared" si="6"/>
        <v>148000</v>
      </c>
      <c r="K43" s="1" t="str">
        <f t="shared" si="7"/>
        <v>切削工具</v>
      </c>
    </row>
    <row r="44" spans="1:11" x14ac:dyDescent="0.7">
      <c r="A44" s="2" t="str" cm="1">
        <f t="array" ref="A44">IFERROR(INDEX(貼付シート!$D$1:$D$10000,SMALL(貼付シート!$A$1:$A$10000,C44)),"")</f>
        <v>EMP-00401 加藤　雄大　　　　　 2024/06/27 有限会社富士化学工業　　　　　　      92000 塗料購入</v>
      </c>
      <c r="B44" s="2" t="str" cm="1">
        <f t="array" ref="B44">IFERROR(INDEX(貼付シート!$B$1:$B$10000,SMALL(貼付シート!$A$1:$A$10000,C44)+1),"")</f>
        <v>【004000 製造部　　　　　　　】</v>
      </c>
      <c r="C44" s="1">
        <v>43</v>
      </c>
      <c r="D44" s="1" t="str">
        <f t="shared" si="8"/>
        <v>EMP-00401</v>
      </c>
      <c r="E44" s="1" t="str">
        <f t="shared" si="1"/>
        <v>加藤　雄大</v>
      </c>
      <c r="F44" s="1" t="str">
        <f t="shared" si="2"/>
        <v>2024/06/27</v>
      </c>
      <c r="G44" s="1" t="str">
        <f t="shared" si="3"/>
        <v>有限会社富士化学工業</v>
      </c>
      <c r="H44" s="1" t="str">
        <f t="shared" si="4"/>
        <v xml:space="preserve"> 004000</v>
      </c>
      <c r="I44" s="1" t="str">
        <f t="shared" si="5"/>
        <v>製造部</v>
      </c>
      <c r="J44" s="1">
        <f t="shared" si="6"/>
        <v>92000</v>
      </c>
      <c r="K44" s="1" t="str">
        <f t="shared" si="7"/>
        <v>塗料購入</v>
      </c>
    </row>
    <row r="45" spans="1:11" x14ac:dyDescent="0.7">
      <c r="A45" s="2" t="str" cm="1">
        <f t="array" ref="A45">IFERROR(INDEX(貼付シート!$D$1:$D$10000,SMALL(貼付シート!$A$1:$A$10000,C45)),"")</f>
        <v>EMP-00402 林　　美穂　　　　　 2024/06/04 株式会社三河鉄工　　　　　　　　     310000 アルミ材仕入</v>
      </c>
      <c r="B45" s="2" t="str" cm="1">
        <f t="array" ref="B45">IFERROR(INDEX(貼付シート!$B$1:$B$10000,SMALL(貼付シート!$A$1:$A$10000,C45)+1),"")</f>
        <v>【004000 製造部　　　　　　　】</v>
      </c>
      <c r="C45" s="1">
        <v>44</v>
      </c>
      <c r="D45" s="1" t="str">
        <f t="shared" si="8"/>
        <v>EMP-00402</v>
      </c>
      <c r="E45" s="1" t="str">
        <f t="shared" si="1"/>
        <v>林　美穂</v>
      </c>
      <c r="F45" s="1" t="str">
        <f t="shared" si="2"/>
        <v>2024/06/04</v>
      </c>
      <c r="G45" s="1" t="str">
        <f t="shared" si="3"/>
        <v>株式会社三河鉄工</v>
      </c>
      <c r="H45" s="1" t="str">
        <f t="shared" si="4"/>
        <v xml:space="preserve"> 004000</v>
      </c>
      <c r="I45" s="1" t="str">
        <f t="shared" si="5"/>
        <v>製造部</v>
      </c>
      <c r="J45" s="1">
        <f t="shared" si="6"/>
        <v>310000</v>
      </c>
      <c r="K45" s="1" t="str">
        <f t="shared" si="7"/>
        <v>アルミ材仕入</v>
      </c>
    </row>
    <row r="46" spans="1:11" x14ac:dyDescent="0.7">
      <c r="A46" s="2" t="str" cm="1">
        <f t="array" ref="A46">IFERROR(INDEX(貼付シート!$D$1:$D$10000,SMALL(貼付シート!$A$1:$A$10000,C46)),"")</f>
        <v>EMP-00402 林　　美穂　　　　　 2024/06/12 合同会社精密工機　　　　　　　　     225000 研磨機部品</v>
      </c>
      <c r="B46" s="2" t="str" cm="1">
        <f t="array" ref="B46">IFERROR(INDEX(貼付シート!$B$1:$B$10000,SMALL(貼付シート!$A$1:$A$10000,C46)+1),"")</f>
        <v>【004000 製造部　　　　　　　】</v>
      </c>
      <c r="C46" s="1">
        <v>45</v>
      </c>
      <c r="D46" s="1" t="str">
        <f t="shared" si="8"/>
        <v>EMP-00402</v>
      </c>
      <c r="E46" s="1" t="str">
        <f t="shared" si="1"/>
        <v>林　美穂</v>
      </c>
      <c r="F46" s="1" t="str">
        <f t="shared" si="2"/>
        <v>2024/06/12</v>
      </c>
      <c r="G46" s="1" t="str">
        <f t="shared" si="3"/>
        <v>合同会社精密工機</v>
      </c>
      <c r="H46" s="1" t="str">
        <f t="shared" si="4"/>
        <v xml:space="preserve"> 004000</v>
      </c>
      <c r="I46" s="1" t="str">
        <f t="shared" si="5"/>
        <v>製造部</v>
      </c>
      <c r="J46" s="1">
        <f t="shared" si="6"/>
        <v>225000</v>
      </c>
      <c r="K46" s="1" t="str">
        <f t="shared" si="7"/>
        <v>研磨機部品</v>
      </c>
    </row>
    <row r="47" spans="1:11" x14ac:dyDescent="0.7">
      <c r="A47" s="2" t="str" cm="1">
        <f t="array" ref="A47">IFERROR(INDEX(貼付シート!$D$1:$D$10000,SMALL(貼付シート!$A$1:$A$10000,C47)),"")</f>
        <v>EMP-00402 林　　美穂　　　　　 2024/06/19 有限会社富士化学工業　　　　　　      67000 接着剤発注</v>
      </c>
      <c r="B47" s="2" t="str" cm="1">
        <f t="array" ref="B47">IFERROR(INDEX(貼付シート!$B$1:$B$10000,SMALL(貼付シート!$A$1:$A$10000,C47)+1),"")</f>
        <v>【004000 製造部　　　　　　　】</v>
      </c>
      <c r="C47" s="1">
        <v>46</v>
      </c>
      <c r="D47" s="1" t="str">
        <f t="shared" si="8"/>
        <v>EMP-00402</v>
      </c>
      <c r="E47" s="1" t="str">
        <f t="shared" si="1"/>
        <v>林　美穂</v>
      </c>
      <c r="F47" s="1" t="str">
        <f t="shared" si="2"/>
        <v>2024/06/19</v>
      </c>
      <c r="G47" s="1" t="str">
        <f t="shared" si="3"/>
        <v>有限会社富士化学工業</v>
      </c>
      <c r="H47" s="1" t="str">
        <f t="shared" si="4"/>
        <v xml:space="preserve"> 004000</v>
      </c>
      <c r="I47" s="1" t="str">
        <f t="shared" si="5"/>
        <v>製造部</v>
      </c>
      <c r="J47" s="1">
        <f t="shared" si="6"/>
        <v>67000</v>
      </c>
      <c r="K47" s="1" t="str">
        <f t="shared" si="7"/>
        <v>接着剤発注</v>
      </c>
    </row>
    <row r="48" spans="1:11" x14ac:dyDescent="0.7">
      <c r="A48" s="2" t="str" cm="1">
        <f t="array" ref="A48">IFERROR(INDEX(貼付シート!$D$1:$D$10000,SMALL(貼付シート!$A$1:$A$10000,C48)),"")</f>
        <v>EMP-00402 林　　美穂　　　　　 2024/06/25 株式会社三河鉄工　　　　　　　　     158000 ステンレス材</v>
      </c>
      <c r="B48" s="2" t="str" cm="1">
        <f t="array" ref="B48">IFERROR(INDEX(貼付シート!$B$1:$B$10000,SMALL(貼付シート!$A$1:$A$10000,C48)+1),"")</f>
        <v>【004000 製造部　　　　　　　】</v>
      </c>
      <c r="C48" s="1">
        <v>47</v>
      </c>
      <c r="D48" s="1" t="str">
        <f t="shared" si="8"/>
        <v>EMP-00402</v>
      </c>
      <c r="E48" s="1" t="str">
        <f t="shared" si="1"/>
        <v>林　美穂</v>
      </c>
      <c r="F48" s="1" t="str">
        <f t="shared" si="2"/>
        <v>2024/06/25</v>
      </c>
      <c r="G48" s="1" t="str">
        <f t="shared" si="3"/>
        <v>株式会社三河鉄工</v>
      </c>
      <c r="H48" s="1" t="str">
        <f t="shared" si="4"/>
        <v xml:space="preserve"> 004000</v>
      </c>
      <c r="I48" s="1" t="str">
        <f t="shared" si="5"/>
        <v>製造部</v>
      </c>
      <c r="J48" s="1">
        <f t="shared" si="6"/>
        <v>158000</v>
      </c>
      <c r="K48" s="1" t="str">
        <f t="shared" si="7"/>
        <v>ステンレス材</v>
      </c>
    </row>
    <row r="49" spans="1:11" x14ac:dyDescent="0.7">
      <c r="A49" s="2" t="str" cm="1">
        <f t="array" ref="A49">IFERROR(INDEX(貼付シート!$D$1:$D$10000,SMALL(貼付シート!$A$1:$A$10000,C49)),"")</f>
        <v>EMP-00403 斎藤　陽介　　　　　 2024/06/06 合同会社精密工機　　　　　　　　     430000 旋盤刃物交換</v>
      </c>
      <c r="B49" s="2" t="str" cm="1">
        <f t="array" ref="B49">IFERROR(INDEX(貼付シート!$B$1:$B$10000,SMALL(貼付シート!$A$1:$A$10000,C49)+1),"")</f>
        <v>【004000 製造部　　　　　　　】（つづき）</v>
      </c>
      <c r="C49" s="1">
        <v>48</v>
      </c>
      <c r="D49" s="1" t="str">
        <f t="shared" si="8"/>
        <v>EMP-00403</v>
      </c>
      <c r="E49" s="1" t="str">
        <f t="shared" si="1"/>
        <v>斎藤　陽介</v>
      </c>
      <c r="F49" s="1" t="str">
        <f t="shared" si="2"/>
        <v>2024/06/06</v>
      </c>
      <c r="G49" s="1" t="str">
        <f t="shared" si="3"/>
        <v>合同会社精密工機</v>
      </c>
      <c r="H49" s="1" t="str">
        <f t="shared" si="4"/>
        <v xml:space="preserve"> 004000</v>
      </c>
      <c r="I49" s="1" t="str">
        <f t="shared" si="5"/>
        <v>製造部</v>
      </c>
      <c r="J49" s="1">
        <f t="shared" si="6"/>
        <v>430000</v>
      </c>
      <c r="K49" s="1" t="str">
        <f t="shared" si="7"/>
        <v>旋盤刃物交換</v>
      </c>
    </row>
    <row r="50" spans="1:11" x14ac:dyDescent="0.7">
      <c r="A50" s="2" t="str" cm="1">
        <f t="array" ref="A50">IFERROR(INDEX(貼付シート!$D$1:$D$10000,SMALL(貼付シート!$A$1:$A$10000,C50)),"")</f>
        <v>EMP-00403 斎藤　陽介　　　　　 2024/06/13 株式会社三河鉄工　　　　　　　　     195000 銅材仕入</v>
      </c>
      <c r="B50" s="2" t="str" cm="1">
        <f t="array" ref="B50">IFERROR(INDEX(貼付シート!$B$1:$B$10000,SMALL(貼付シート!$A$1:$A$10000,C50)+1),"")</f>
        <v>【004000 製造部　　　　　　　】（つづき）</v>
      </c>
      <c r="C50" s="1">
        <v>49</v>
      </c>
      <c r="D50" s="1" t="str">
        <f t="shared" si="8"/>
        <v>EMP-00403</v>
      </c>
      <c r="E50" s="1" t="str">
        <f t="shared" si="1"/>
        <v>斎藤　陽介</v>
      </c>
      <c r="F50" s="1" t="str">
        <f t="shared" si="2"/>
        <v>2024/06/13</v>
      </c>
      <c r="G50" s="1" t="str">
        <f t="shared" si="3"/>
        <v>株式会社三河鉄工</v>
      </c>
      <c r="H50" s="1" t="str">
        <f t="shared" si="4"/>
        <v xml:space="preserve"> 004000</v>
      </c>
      <c r="I50" s="1" t="str">
        <f t="shared" si="5"/>
        <v>製造部</v>
      </c>
      <c r="J50" s="1">
        <f t="shared" si="6"/>
        <v>195000</v>
      </c>
      <c r="K50" s="1" t="str">
        <f t="shared" si="7"/>
        <v>銅材仕入</v>
      </c>
    </row>
    <row r="51" spans="1:11" x14ac:dyDescent="0.7">
      <c r="A51" s="2" t="str" cm="1">
        <f t="array" ref="A51">IFERROR(INDEX(貼付シート!$D$1:$D$10000,SMALL(貼付シート!$A$1:$A$10000,C51)),"")</f>
        <v>EMP-00403 斎藤　陽介　　　　　 2024/06/18 有限会社富士化学工業　　　　　　     114000 防錆剤購入</v>
      </c>
      <c r="B51" s="2" t="str" cm="1">
        <f t="array" ref="B51">IFERROR(INDEX(貼付シート!$B$1:$B$10000,SMALL(貼付シート!$A$1:$A$10000,C51)+1),"")</f>
        <v>【004000 製造部　　　　　　　】（つづき）</v>
      </c>
      <c r="C51" s="1">
        <v>50</v>
      </c>
      <c r="D51" s="1" t="str">
        <f t="shared" si="8"/>
        <v>EMP-00403</v>
      </c>
      <c r="E51" s="1" t="str">
        <f t="shared" si="1"/>
        <v>斎藤　陽介</v>
      </c>
      <c r="F51" s="1" t="str">
        <f t="shared" si="2"/>
        <v>2024/06/18</v>
      </c>
      <c r="G51" s="1" t="str">
        <f t="shared" si="3"/>
        <v>有限会社富士化学工業</v>
      </c>
      <c r="H51" s="1" t="str">
        <f t="shared" si="4"/>
        <v xml:space="preserve"> 004000</v>
      </c>
      <c r="I51" s="1" t="str">
        <f t="shared" si="5"/>
        <v>製造部</v>
      </c>
      <c r="J51" s="1">
        <f t="shared" si="6"/>
        <v>114000</v>
      </c>
      <c r="K51" s="1" t="str">
        <f t="shared" si="7"/>
        <v>防錆剤購入</v>
      </c>
    </row>
    <row r="52" spans="1:11" x14ac:dyDescent="0.7">
      <c r="A52" s="2" t="str" cm="1">
        <f t="array" ref="A52">IFERROR(INDEX(貼付シート!$D$1:$D$10000,SMALL(貼付シート!$A$1:$A$10000,C52)),"")</f>
        <v>EMP-00403 斎藤　陽介　　　　　 2024/06/26 合同会社精密工機　　　　　　　　      76000 測定器校正</v>
      </c>
      <c r="B52" s="2" t="str" cm="1">
        <f t="array" ref="B52">IFERROR(INDEX(貼付シート!$B$1:$B$10000,SMALL(貼付シート!$A$1:$A$10000,C52)+1),"")</f>
        <v>【004000 製造部　　　　　　　】（つづき）</v>
      </c>
      <c r="C52" s="1">
        <v>51</v>
      </c>
      <c r="D52" s="1" t="str">
        <f t="shared" si="8"/>
        <v>EMP-00403</v>
      </c>
      <c r="E52" s="1" t="str">
        <f t="shared" si="1"/>
        <v>斎藤　陽介</v>
      </c>
      <c r="F52" s="1" t="str">
        <f t="shared" si="2"/>
        <v>2024/06/26</v>
      </c>
      <c r="G52" s="1" t="str">
        <f t="shared" si="3"/>
        <v>合同会社精密工機</v>
      </c>
      <c r="H52" s="1" t="str">
        <f t="shared" si="4"/>
        <v xml:space="preserve"> 004000</v>
      </c>
      <c r="I52" s="1" t="str">
        <f t="shared" si="5"/>
        <v>製造部</v>
      </c>
      <c r="J52" s="1">
        <f t="shared" si="6"/>
        <v>76000</v>
      </c>
      <c r="K52" s="1" t="str">
        <f t="shared" si="7"/>
        <v>測定器校正</v>
      </c>
    </row>
    <row r="53" spans="1:11" x14ac:dyDescent="0.7">
      <c r="A53" s="2" t="str" cm="1">
        <f t="array" ref="A53">IFERROR(INDEX(貼付シート!$D$1:$D$10000,SMALL(貼付シート!$A$1:$A$10000,C53)),"")</f>
        <v>EMP-00404 清水　結衣　　　　　 2024/06/09 株式会社三河鉄工　　　　　　　　     265000 合金材仕入</v>
      </c>
      <c r="B53" s="2" t="str" cm="1">
        <f t="array" ref="B53">IFERROR(INDEX(貼付シート!$B$1:$B$10000,SMALL(貼付シート!$A$1:$A$10000,C53)+1),"")</f>
        <v>【004000 製造部　　　　　　　】（つづき）</v>
      </c>
      <c r="C53" s="1">
        <v>52</v>
      </c>
      <c r="D53" s="1" t="str">
        <f t="shared" si="8"/>
        <v>EMP-00404</v>
      </c>
      <c r="E53" s="1" t="str">
        <f t="shared" si="1"/>
        <v>清水　結衣</v>
      </c>
      <c r="F53" s="1" t="str">
        <f t="shared" si="2"/>
        <v>2024/06/09</v>
      </c>
      <c r="G53" s="1" t="str">
        <f t="shared" si="3"/>
        <v>株式会社三河鉄工</v>
      </c>
      <c r="H53" s="1" t="str">
        <f t="shared" si="4"/>
        <v xml:space="preserve"> 004000</v>
      </c>
      <c r="I53" s="1" t="str">
        <f t="shared" si="5"/>
        <v>製造部</v>
      </c>
      <c r="J53" s="1">
        <f t="shared" si="6"/>
        <v>265000</v>
      </c>
      <c r="K53" s="1" t="str">
        <f t="shared" si="7"/>
        <v>合金材仕入</v>
      </c>
    </row>
    <row r="54" spans="1:11" x14ac:dyDescent="0.7">
      <c r="A54" s="2" t="str" cm="1">
        <f t="array" ref="A54">IFERROR(INDEX(貼付シート!$D$1:$D$10000,SMALL(貼付シート!$A$1:$A$10000,C54)),"")</f>
        <v>EMP-00404 清水　結衣　　　　　 2024/06/16 有限会社富士化学工業　　　　　　      53000 洗浄液発注</v>
      </c>
      <c r="B54" s="2" t="str" cm="1">
        <f t="array" ref="B54">IFERROR(INDEX(貼付シート!$B$1:$B$10000,SMALL(貼付シート!$A$1:$A$10000,C54)+1),"")</f>
        <v>【004000 製造部　　　　　　　】（つづき）</v>
      </c>
      <c r="C54" s="1">
        <v>53</v>
      </c>
      <c r="D54" s="1" t="str">
        <f t="shared" si="8"/>
        <v>EMP-00404</v>
      </c>
      <c r="E54" s="1" t="str">
        <f t="shared" si="1"/>
        <v>清水　結衣</v>
      </c>
      <c r="F54" s="1" t="str">
        <f t="shared" si="2"/>
        <v>2024/06/16</v>
      </c>
      <c r="G54" s="1" t="str">
        <f t="shared" si="3"/>
        <v>有限会社富士化学工業</v>
      </c>
      <c r="H54" s="1" t="str">
        <f t="shared" si="4"/>
        <v xml:space="preserve"> 004000</v>
      </c>
      <c r="I54" s="1" t="str">
        <f t="shared" si="5"/>
        <v>製造部</v>
      </c>
      <c r="J54" s="1">
        <f t="shared" si="6"/>
        <v>53000</v>
      </c>
      <c r="K54" s="1" t="str">
        <f t="shared" si="7"/>
        <v>洗浄液発注</v>
      </c>
    </row>
    <row r="55" spans="1:11" x14ac:dyDescent="0.7">
      <c r="A55" s="2" t="str" cm="1">
        <f t="array" ref="A55">IFERROR(INDEX(貼付シート!$D$1:$D$10000,SMALL(貼付シート!$A$1:$A$10000,C55)),"")</f>
        <v>EMP-00404 清水　結衣　　　　　 2024/06/23 合同会社精密工機　　　　　　　　     188000 プレス金型修理</v>
      </c>
      <c r="B55" s="2" t="str" cm="1">
        <f t="array" ref="B55">IFERROR(INDEX(貼付シート!$B$1:$B$10000,SMALL(貼付シート!$A$1:$A$10000,C55)+1),"")</f>
        <v>【004000 製造部　　　　　　　】（つづき）</v>
      </c>
      <c r="C55" s="1">
        <v>54</v>
      </c>
      <c r="D55" s="1" t="str">
        <f t="shared" si="8"/>
        <v>EMP-00404</v>
      </c>
      <c r="E55" s="1" t="str">
        <f t="shared" si="1"/>
        <v>清水　結衣</v>
      </c>
      <c r="F55" s="1" t="str">
        <f t="shared" si="2"/>
        <v>2024/06/23</v>
      </c>
      <c r="G55" s="1" t="str">
        <f t="shared" si="3"/>
        <v>合同会社精密工機</v>
      </c>
      <c r="H55" s="1" t="str">
        <f t="shared" si="4"/>
        <v xml:space="preserve"> 004000</v>
      </c>
      <c r="I55" s="1" t="str">
        <f t="shared" si="5"/>
        <v>製造部</v>
      </c>
      <c r="J55" s="1">
        <f t="shared" si="6"/>
        <v>188000</v>
      </c>
      <c r="K55" s="1" t="str">
        <f t="shared" si="7"/>
        <v>プレス金型修理</v>
      </c>
    </row>
    <row r="56" spans="1:11" x14ac:dyDescent="0.7">
      <c r="A56" s="2" t="str" cm="1">
        <f t="array" ref="A56">IFERROR(INDEX(貼付シート!$D$1:$D$10000,SMALL(貼付シート!$A$1:$A$10000,C56)),"")</f>
        <v>EMP-00404 清水　結衣　　　　　 2024/06/30 株式会社三河鉄工　　　　　　　　     342000 チタン材仕入</v>
      </c>
      <c r="B56" s="2" t="str" cm="1">
        <f t="array" ref="B56">IFERROR(INDEX(貼付シート!$B$1:$B$10000,SMALL(貼付シート!$A$1:$A$10000,C56)+1),"")</f>
        <v>【004000 製造部　　　　　　　】（つづき）</v>
      </c>
      <c r="C56" s="1">
        <v>55</v>
      </c>
      <c r="D56" s="1" t="str">
        <f t="shared" si="8"/>
        <v>EMP-00404</v>
      </c>
      <c r="E56" s="1" t="str">
        <f t="shared" si="1"/>
        <v>清水　結衣</v>
      </c>
      <c r="F56" s="1" t="str">
        <f t="shared" si="2"/>
        <v>2024/06/30</v>
      </c>
      <c r="G56" s="1" t="str">
        <f t="shared" si="3"/>
        <v>株式会社三河鉄工</v>
      </c>
      <c r="H56" s="1" t="str">
        <f t="shared" si="4"/>
        <v xml:space="preserve"> 004000</v>
      </c>
      <c r="I56" s="1" t="str">
        <f t="shared" si="5"/>
        <v>製造部</v>
      </c>
      <c r="J56" s="1">
        <f t="shared" si="6"/>
        <v>342000</v>
      </c>
      <c r="K56" s="1" t="str">
        <f t="shared" si="7"/>
        <v>チタン材仕入</v>
      </c>
    </row>
    <row r="57" spans="1:11" x14ac:dyDescent="0.7">
      <c r="A57" s="2" t="str" cm="1">
        <f t="array" ref="A57">IFERROR(INDEX(貼付シート!$D$1:$D$10000,SMALL(貼付シート!$A$1:$A$10000,C57)),"")</f>
        <v>EMP-00501 山口　直樹　　　　　 2024/06/03 税理士法人青山会計　　　　　　　     350000 顧問料</v>
      </c>
      <c r="B57" s="2" t="str" cm="1">
        <f t="array" ref="B57">IFERROR(INDEX(貼付シート!$B$1:$B$10000,SMALL(貼付シート!$A$1:$A$10000,C57)+1),"")</f>
        <v>【005000 経理部　　　　　　　】</v>
      </c>
      <c r="C57" s="1">
        <v>56</v>
      </c>
      <c r="D57" s="1" t="str">
        <f t="shared" si="8"/>
        <v>EMP-00501</v>
      </c>
      <c r="E57" s="1" t="str">
        <f t="shared" si="1"/>
        <v>山口　直樹</v>
      </c>
      <c r="F57" s="1" t="str">
        <f t="shared" si="2"/>
        <v>2024/06/03</v>
      </c>
      <c r="G57" s="1" t="str">
        <f t="shared" si="3"/>
        <v>税理士法人青山会計</v>
      </c>
      <c r="H57" s="1" t="str">
        <f t="shared" si="4"/>
        <v xml:space="preserve"> 005000</v>
      </c>
      <c r="I57" s="1" t="str">
        <f t="shared" si="5"/>
        <v>経理部</v>
      </c>
      <c r="J57" s="1">
        <f t="shared" si="6"/>
        <v>350000</v>
      </c>
      <c r="K57" s="1" t="str">
        <f t="shared" si="7"/>
        <v>顧問料</v>
      </c>
    </row>
    <row r="58" spans="1:11" x14ac:dyDescent="0.7">
      <c r="A58" s="2" t="str" cm="1">
        <f t="array" ref="A58">IFERROR(INDEX(貼付シート!$D$1:$D$10000,SMALL(貼付シート!$A$1:$A$10000,C58)),"")</f>
        <v>EMP-00501 山口　直樹　　　　　 2024/06/10 株式会社日本信用調査　　　　　　      85000 信用調査費</v>
      </c>
      <c r="B58" s="2" t="str" cm="1">
        <f t="array" ref="B58">IFERROR(INDEX(貼付シート!$B$1:$B$10000,SMALL(貼付シート!$A$1:$A$10000,C58)+1),"")</f>
        <v>【005000 経理部　　　　　　　】</v>
      </c>
      <c r="C58" s="1">
        <v>57</v>
      </c>
      <c r="D58" s="1" t="str">
        <f t="shared" si="8"/>
        <v>EMP-00501</v>
      </c>
      <c r="E58" s="1" t="str">
        <f t="shared" si="1"/>
        <v>山口　直樹</v>
      </c>
      <c r="F58" s="1" t="str">
        <f t="shared" si="2"/>
        <v>2024/06/10</v>
      </c>
      <c r="G58" s="1" t="str">
        <f t="shared" si="3"/>
        <v>株式会社日本信用調査</v>
      </c>
      <c r="H58" s="1" t="str">
        <f t="shared" si="4"/>
        <v xml:space="preserve"> 005000</v>
      </c>
      <c r="I58" s="1" t="str">
        <f t="shared" si="5"/>
        <v>経理部</v>
      </c>
      <c r="J58" s="1">
        <f t="shared" si="6"/>
        <v>85000</v>
      </c>
      <c r="K58" s="1" t="str">
        <f t="shared" si="7"/>
        <v>信用調査費</v>
      </c>
    </row>
    <row r="59" spans="1:11" x14ac:dyDescent="0.7">
      <c r="A59" s="2" t="str" cm="1">
        <f t="array" ref="A59">IFERROR(INDEX(貼付シート!$D$1:$D$10000,SMALL(貼付シート!$A$1:$A$10000,C59)),"")</f>
        <v>EMP-00501 山口　直樹　　　　　 2024/06/17 合同会社オフィスサポート　　　　      46000 複合機リース料</v>
      </c>
      <c r="B59" s="2" t="str" cm="1">
        <f t="array" ref="B59">IFERROR(INDEX(貼付シート!$B$1:$B$10000,SMALL(貼付シート!$A$1:$A$10000,C59)+1),"")</f>
        <v>【005000 経理部　　　　　　　】</v>
      </c>
      <c r="C59" s="1">
        <v>58</v>
      </c>
      <c r="D59" s="1" t="str">
        <f t="shared" si="8"/>
        <v>EMP-00501</v>
      </c>
      <c r="E59" s="1" t="str">
        <f t="shared" si="1"/>
        <v>山口　直樹</v>
      </c>
      <c r="F59" s="1" t="str">
        <f t="shared" si="2"/>
        <v>2024/06/17</v>
      </c>
      <c r="G59" s="1" t="str">
        <f t="shared" si="3"/>
        <v>合同会社オフィスサポート</v>
      </c>
      <c r="H59" s="1" t="str">
        <f t="shared" si="4"/>
        <v xml:space="preserve"> 005000</v>
      </c>
      <c r="I59" s="1" t="str">
        <f t="shared" si="5"/>
        <v>経理部</v>
      </c>
      <c r="J59" s="1">
        <f t="shared" si="6"/>
        <v>46000</v>
      </c>
      <c r="K59" s="1" t="str">
        <f t="shared" si="7"/>
        <v>複合機リース料</v>
      </c>
    </row>
    <row r="60" spans="1:11" x14ac:dyDescent="0.7">
      <c r="A60" s="2" t="str" cm="1">
        <f t="array" ref="A60">IFERROR(INDEX(貼付シート!$D$1:$D$10000,SMALL(貼付シート!$A$1:$A$10000,C60)),"")</f>
        <v>EMP-00501 山口　直樹　　　　　 2024/06/24 税理士法人青山会計　　　　　　　     120000 決算書類作成</v>
      </c>
      <c r="B60" s="2" t="str" cm="1">
        <f t="array" ref="B60">IFERROR(INDEX(貼付シート!$B$1:$B$10000,SMALL(貼付シート!$A$1:$A$10000,C60)+1),"")</f>
        <v>【005000 経理部　　　　　　　】</v>
      </c>
      <c r="C60" s="1">
        <v>59</v>
      </c>
      <c r="D60" s="1" t="str">
        <f t="shared" si="8"/>
        <v>EMP-00501</v>
      </c>
      <c r="E60" s="1" t="str">
        <f t="shared" si="1"/>
        <v>山口　直樹</v>
      </c>
      <c r="F60" s="1" t="str">
        <f t="shared" si="2"/>
        <v>2024/06/24</v>
      </c>
      <c r="G60" s="1" t="str">
        <f t="shared" si="3"/>
        <v>税理士法人青山会計</v>
      </c>
      <c r="H60" s="1" t="str">
        <f t="shared" si="4"/>
        <v xml:space="preserve"> 005000</v>
      </c>
      <c r="I60" s="1" t="str">
        <f t="shared" si="5"/>
        <v>経理部</v>
      </c>
      <c r="J60" s="1">
        <f t="shared" si="6"/>
        <v>120000</v>
      </c>
      <c r="K60" s="1" t="str">
        <f t="shared" si="7"/>
        <v>決算書類作成</v>
      </c>
    </row>
    <row r="61" spans="1:11" x14ac:dyDescent="0.7">
      <c r="A61" s="2" t="str" cm="1">
        <f t="array" ref="A61">IFERROR(INDEX(貼付シート!$D$1:$D$10000,SMALL(貼付シート!$A$1:$A$10000,C61)),"")</f>
        <v>EMP-00502 前田　琴音　　　　　 2024/06/05 株式会社日本信用調査　　　　　　      72000 企業情報照会</v>
      </c>
      <c r="B61" s="2" t="str" cm="1">
        <f t="array" ref="B61">IFERROR(INDEX(貼付シート!$B$1:$B$10000,SMALL(貼付シート!$A$1:$A$10000,C61)+1),"")</f>
        <v>【005000 経理部　　　　　　　】</v>
      </c>
      <c r="C61" s="1">
        <v>60</v>
      </c>
      <c r="D61" s="1" t="str">
        <f t="shared" si="8"/>
        <v>EMP-00502</v>
      </c>
      <c r="E61" s="1" t="str">
        <f t="shared" si="1"/>
        <v>前田　琴音</v>
      </c>
      <c r="F61" s="1" t="str">
        <f t="shared" si="2"/>
        <v>2024/06/05</v>
      </c>
      <c r="G61" s="1" t="str">
        <f t="shared" si="3"/>
        <v>株式会社日本信用調査</v>
      </c>
      <c r="H61" s="1" t="str">
        <f t="shared" si="4"/>
        <v xml:space="preserve"> 005000</v>
      </c>
      <c r="I61" s="1" t="str">
        <f t="shared" si="5"/>
        <v>経理部</v>
      </c>
      <c r="J61" s="1">
        <f t="shared" si="6"/>
        <v>72000</v>
      </c>
      <c r="K61" s="1" t="str">
        <f t="shared" si="7"/>
        <v>企業情報照会</v>
      </c>
    </row>
    <row r="62" spans="1:11" x14ac:dyDescent="0.7">
      <c r="A62" s="2" t="str" cm="1">
        <f t="array" ref="A62">IFERROR(INDEX(貼付シート!$D$1:$D$10000,SMALL(貼付シート!$A$1:$A$10000,C62)),"")</f>
        <v>EMP-00502 前田　琴音　　　　　 2024/06/12 合同会社オフィスサポート　　　　      38000 シュレッダーリース</v>
      </c>
      <c r="B62" s="2" t="str" cm="1">
        <f t="array" ref="B62">IFERROR(INDEX(貼付シート!$B$1:$B$10000,SMALL(貼付シート!$A$1:$A$10000,C62)+1),"")</f>
        <v>【005000 経理部　　　　　　　】</v>
      </c>
      <c r="C62" s="1">
        <v>61</v>
      </c>
      <c r="D62" s="1" t="str">
        <f t="shared" si="8"/>
        <v>EMP-00502</v>
      </c>
      <c r="E62" s="1" t="str">
        <f t="shared" si="1"/>
        <v>前田　琴音</v>
      </c>
      <c r="F62" s="1" t="str">
        <f t="shared" si="2"/>
        <v>2024/06/12</v>
      </c>
      <c r="G62" s="1" t="str">
        <f t="shared" si="3"/>
        <v>合同会社オフィスサポート</v>
      </c>
      <c r="H62" s="1" t="str">
        <f t="shared" si="4"/>
        <v xml:space="preserve"> 005000</v>
      </c>
      <c r="I62" s="1" t="str">
        <f t="shared" si="5"/>
        <v>経理部</v>
      </c>
      <c r="J62" s="1">
        <f t="shared" si="6"/>
        <v>38000</v>
      </c>
      <c r="K62" s="1" t="str">
        <f t="shared" si="7"/>
        <v>シュレッダーリース</v>
      </c>
    </row>
    <row r="63" spans="1:11" x14ac:dyDescent="0.7">
      <c r="A63" s="2" t="str" cm="1">
        <f t="array" ref="A63">IFERROR(INDEX(貼付シート!$D$1:$D$10000,SMALL(貼付シート!$A$1:$A$10000,C63)),"")</f>
        <v>EMP-00502 前田　琴音　　　　　 2024/06/19 税理士法人青山会計　　　　　　　      95000 税務相談料</v>
      </c>
      <c r="B63" s="2" t="str" cm="1">
        <f t="array" ref="B63">IFERROR(INDEX(貼付シート!$B$1:$B$10000,SMALL(貼付シート!$A$1:$A$10000,C63)+1),"")</f>
        <v>【005000 経理部　　　　　　　】</v>
      </c>
      <c r="C63" s="1">
        <v>62</v>
      </c>
      <c r="D63" s="1" t="str">
        <f t="shared" si="8"/>
        <v>EMP-00502</v>
      </c>
      <c r="E63" s="1" t="str">
        <f t="shared" si="1"/>
        <v>前田　琴音</v>
      </c>
      <c r="F63" s="1" t="str">
        <f t="shared" si="2"/>
        <v>2024/06/19</v>
      </c>
      <c r="G63" s="1" t="str">
        <f t="shared" si="3"/>
        <v>税理士法人青山会計</v>
      </c>
      <c r="H63" s="1" t="str">
        <f t="shared" si="4"/>
        <v xml:space="preserve"> 005000</v>
      </c>
      <c r="I63" s="1" t="str">
        <f t="shared" si="5"/>
        <v>経理部</v>
      </c>
      <c r="J63" s="1">
        <f t="shared" si="6"/>
        <v>95000</v>
      </c>
      <c r="K63" s="1" t="str">
        <f t="shared" si="7"/>
        <v>税務相談料</v>
      </c>
    </row>
    <row r="64" spans="1:11" x14ac:dyDescent="0.7">
      <c r="A64" s="2" t="str" cm="1">
        <f t="array" ref="A64">IFERROR(INDEX(貼付シート!$D$1:$D$10000,SMALL(貼付シート!$A$1:$A$10000,C64)),"")</f>
        <v>EMP-00502 前田　琴音　　　　　 2024/06/27 株式会社日本信用調査　　　　　　     160000 与信審査費</v>
      </c>
      <c r="B64" s="2" t="str" cm="1">
        <f t="array" ref="B64">IFERROR(INDEX(貼付シート!$B$1:$B$10000,SMALL(貼付シート!$A$1:$A$10000,C64)+1),"")</f>
        <v>【005000 経理部　　　　　　　】</v>
      </c>
      <c r="C64" s="1">
        <v>63</v>
      </c>
      <c r="D64" s="1" t="str">
        <f t="shared" si="8"/>
        <v>EMP-00502</v>
      </c>
      <c r="E64" s="1" t="str">
        <f t="shared" si="1"/>
        <v>前田　琴音</v>
      </c>
      <c r="F64" s="1" t="str">
        <f t="shared" si="2"/>
        <v>2024/06/27</v>
      </c>
      <c r="G64" s="1" t="str">
        <f t="shared" si="3"/>
        <v>株式会社日本信用調査</v>
      </c>
      <c r="H64" s="1" t="str">
        <f t="shared" si="4"/>
        <v xml:space="preserve"> 005000</v>
      </c>
      <c r="I64" s="1" t="str">
        <f t="shared" si="5"/>
        <v>経理部</v>
      </c>
      <c r="J64" s="1">
        <f t="shared" si="6"/>
        <v>160000</v>
      </c>
      <c r="K64" s="1" t="str">
        <f t="shared" si="7"/>
        <v>与信審査費</v>
      </c>
    </row>
    <row r="65" spans="1:11" x14ac:dyDescent="0.7">
      <c r="A65" s="2" t="str" cm="1">
        <f t="array" ref="A65">IFERROR(INDEX(貼付シート!$D$1:$D$10000,SMALL(貼付シート!$A$1:$A$10000,C65)),"")</f>
        <v>EMP-00503 藤田　悠人　　　　　 2024/06/06 合同会社オフィスサポート　　　　      29000 トナー購入</v>
      </c>
      <c r="B65" s="2" t="str" cm="1">
        <f t="array" ref="B65">IFERROR(INDEX(貼付シート!$B$1:$B$10000,SMALL(貼付シート!$A$1:$A$10000,C65)+1),"")</f>
        <v>【005000 経理部　　　　　　　】（つづき）</v>
      </c>
      <c r="C65" s="1">
        <v>64</v>
      </c>
      <c r="D65" s="1" t="str">
        <f t="shared" si="8"/>
        <v>EMP-00503</v>
      </c>
      <c r="E65" s="1" t="str">
        <f t="shared" si="1"/>
        <v>藤田　悠人</v>
      </c>
      <c r="F65" s="1" t="str">
        <f t="shared" si="2"/>
        <v>2024/06/06</v>
      </c>
      <c r="G65" s="1" t="str">
        <f t="shared" si="3"/>
        <v>合同会社オフィスサポート</v>
      </c>
      <c r="H65" s="1" t="str">
        <f t="shared" si="4"/>
        <v xml:space="preserve"> 005000</v>
      </c>
      <c r="I65" s="1" t="str">
        <f t="shared" si="5"/>
        <v>経理部</v>
      </c>
      <c r="J65" s="1">
        <f t="shared" si="6"/>
        <v>29000</v>
      </c>
      <c r="K65" s="1" t="str">
        <f t="shared" si="7"/>
        <v>トナー購入</v>
      </c>
    </row>
    <row r="66" spans="1:11" x14ac:dyDescent="0.7">
      <c r="A66" s="2" t="str" cm="1">
        <f t="array" ref="A66">IFERROR(INDEX(貼付シート!$D$1:$D$10000,SMALL(貼付シート!$A$1:$A$10000,C66)),"")</f>
        <v>EMP-00503 藤田　悠人　　　　　 2024/06/14 税理士法人青山会計　　　　　　　     210000 中間監査対応</v>
      </c>
      <c r="B66" s="2" t="str" cm="1">
        <f t="array" ref="B66">IFERROR(INDEX(貼付シート!$B$1:$B$10000,SMALL(貼付シート!$A$1:$A$10000,C66)+1),"")</f>
        <v>【005000 経理部　　　　　　　】（つづき）</v>
      </c>
      <c r="C66" s="1">
        <v>65</v>
      </c>
      <c r="D66" s="1" t="str">
        <f t="shared" ref="D66:D101" si="9">MIDB(A66,1,9)</f>
        <v>EMP-00503</v>
      </c>
      <c r="E66" s="1" t="str">
        <f t="shared" si="1"/>
        <v>藤田　悠人</v>
      </c>
      <c r="F66" s="1" t="str">
        <f t="shared" si="2"/>
        <v>2024/06/14</v>
      </c>
      <c r="G66" s="1" t="str">
        <f t="shared" si="3"/>
        <v>税理士法人青山会計</v>
      </c>
      <c r="H66" s="1" t="str">
        <f t="shared" si="4"/>
        <v xml:space="preserve"> 005000</v>
      </c>
      <c r="I66" s="1" t="str">
        <f t="shared" si="5"/>
        <v>経理部</v>
      </c>
      <c r="J66" s="1">
        <f t="shared" si="6"/>
        <v>210000</v>
      </c>
      <c r="K66" s="1" t="str">
        <f t="shared" si="7"/>
        <v>中間監査対応</v>
      </c>
    </row>
    <row r="67" spans="1:11" x14ac:dyDescent="0.7">
      <c r="A67" s="2" t="str" cm="1">
        <f t="array" ref="A67">IFERROR(INDEX(貼付シート!$D$1:$D$10000,SMALL(貼付シート!$A$1:$A$10000,C67)),"")</f>
        <v>EMP-00503 藤田　悠人　　　　　 2024/06/20 株式会社日本信用調査　　　　　　      55000 反社チェック費</v>
      </c>
      <c r="B67" s="2" t="str" cm="1">
        <f t="array" ref="B67">IFERROR(INDEX(貼付シート!$B$1:$B$10000,SMALL(貼付シート!$A$1:$A$10000,C67)+1),"")</f>
        <v>【005000 経理部　　　　　　　】（つづき）</v>
      </c>
      <c r="C67" s="1">
        <v>66</v>
      </c>
      <c r="D67" s="1" t="str">
        <f t="shared" si="9"/>
        <v>EMP-00503</v>
      </c>
      <c r="E67" s="1" t="str">
        <f t="shared" ref="E67:E101" si="10">TRIM(MIDB(A67,11,21))</f>
        <v>藤田　悠人</v>
      </c>
      <c r="F67" s="1" t="str">
        <f t="shared" ref="F67:F101" si="11">MIDB(A67,32,10)</f>
        <v>2024/06/20</v>
      </c>
      <c r="G67" s="1" t="str">
        <f t="shared" ref="G67:G101" si="12">TRIM(MIDB(A67,43,37))</f>
        <v>株式会社日本信用調査</v>
      </c>
      <c r="H67" s="1" t="str">
        <f t="shared" ref="H67:H101" si="13">MIDB(B67,2,7)</f>
        <v xml:space="preserve"> 005000</v>
      </c>
      <c r="I67" s="1" t="str">
        <f t="shared" ref="I67:I101" si="14">TRIM(MIDB(B67,10,15))</f>
        <v>経理部</v>
      </c>
      <c r="J67" s="1">
        <f t="shared" ref="J67:J101" si="15">IF(A67="","",VALUE(TRIM(MIDB(A67,73,13))))</f>
        <v>55000</v>
      </c>
      <c r="K67" s="1" t="str">
        <f t="shared" ref="K67:K101" si="16">TRIM(MIDB(A67,87,30))</f>
        <v>反社チェック費</v>
      </c>
    </row>
    <row r="68" spans="1:11" x14ac:dyDescent="0.7">
      <c r="A68" s="2" t="str" cm="1">
        <f t="array" ref="A68">IFERROR(INDEX(貼付シート!$D$1:$D$10000,SMALL(貼付シート!$A$1:$A$10000,C68)),"")</f>
        <v>EMP-00503 藤田　悠人　　　　　 2024/06/28 合同会社オフィスサポート　　　　      82000 書類保管サービス</v>
      </c>
      <c r="B68" s="2" t="str" cm="1">
        <f t="array" ref="B68">IFERROR(INDEX(貼付シート!$B$1:$B$10000,SMALL(貼付シート!$A$1:$A$10000,C68)+1),"")</f>
        <v>【005000 経理部　　　　　　　】（つづき）</v>
      </c>
      <c r="C68" s="1">
        <v>67</v>
      </c>
      <c r="D68" s="1" t="str">
        <f t="shared" si="9"/>
        <v>EMP-00503</v>
      </c>
      <c r="E68" s="1" t="str">
        <f t="shared" si="10"/>
        <v>藤田　悠人</v>
      </c>
      <c r="F68" s="1" t="str">
        <f t="shared" si="11"/>
        <v>2024/06/28</v>
      </c>
      <c r="G68" s="1" t="str">
        <f t="shared" si="12"/>
        <v>合同会社オフィスサポート</v>
      </c>
      <c r="H68" s="1" t="str">
        <f t="shared" si="13"/>
        <v xml:space="preserve"> 005000</v>
      </c>
      <c r="I68" s="1" t="str">
        <f t="shared" si="14"/>
        <v>経理部</v>
      </c>
      <c r="J68" s="1">
        <f t="shared" si="15"/>
        <v>82000</v>
      </c>
      <c r="K68" s="1" t="str">
        <f t="shared" si="16"/>
        <v>書類保管サービス</v>
      </c>
    </row>
    <row r="69" spans="1:11" x14ac:dyDescent="0.7">
      <c r="A69" s="2" t="str" cm="1">
        <f t="array" ref="A69">IFERROR(INDEX(貼付シート!$D$1:$D$10000,SMALL(貼付シート!$A$1:$A$10000,C69)),"")</f>
        <v>EMP-00504 岡田　七海　　　　　 2024/06/08 税理士法人青山会計　　　　　　　     175000 年末調整委託</v>
      </c>
      <c r="B69" s="2" t="str" cm="1">
        <f t="array" ref="B69">IFERROR(INDEX(貼付シート!$B$1:$B$10000,SMALL(貼付シート!$A$1:$A$10000,C69)+1),"")</f>
        <v>【005000 経理部　　　　　　　】（つづき）</v>
      </c>
      <c r="C69" s="1">
        <v>68</v>
      </c>
      <c r="D69" s="1" t="str">
        <f t="shared" si="9"/>
        <v>EMP-00504</v>
      </c>
      <c r="E69" s="1" t="str">
        <f t="shared" si="10"/>
        <v>岡田　七海</v>
      </c>
      <c r="F69" s="1" t="str">
        <f t="shared" si="11"/>
        <v>2024/06/08</v>
      </c>
      <c r="G69" s="1" t="str">
        <f t="shared" si="12"/>
        <v>税理士法人青山会計</v>
      </c>
      <c r="H69" s="1" t="str">
        <f t="shared" si="13"/>
        <v xml:space="preserve"> 005000</v>
      </c>
      <c r="I69" s="1" t="str">
        <f t="shared" si="14"/>
        <v>経理部</v>
      </c>
      <c r="J69" s="1">
        <f t="shared" si="15"/>
        <v>175000</v>
      </c>
      <c r="K69" s="1" t="str">
        <f t="shared" si="16"/>
        <v>年末調整委託</v>
      </c>
    </row>
    <row r="70" spans="1:11" x14ac:dyDescent="0.7">
      <c r="A70" s="2" t="str" cm="1">
        <f t="array" ref="A70">IFERROR(INDEX(貼付シート!$D$1:$D$10000,SMALL(貼付シート!$A$1:$A$10000,C70)),"")</f>
        <v>EMP-00504 岡田　七海　　　　　 2024/06/15 株式会社日本信用調査　　　　　　      63000 登記簿取得代行</v>
      </c>
      <c r="B70" s="2" t="str" cm="1">
        <f t="array" ref="B70">IFERROR(INDEX(貼付シート!$B$1:$B$10000,SMALL(貼付シート!$A$1:$A$10000,C70)+1),"")</f>
        <v>【005000 経理部　　　　　　　】（つづき）</v>
      </c>
      <c r="C70" s="1">
        <v>69</v>
      </c>
      <c r="D70" s="1" t="str">
        <f t="shared" si="9"/>
        <v>EMP-00504</v>
      </c>
      <c r="E70" s="1" t="str">
        <f t="shared" si="10"/>
        <v>岡田　七海</v>
      </c>
      <c r="F70" s="1" t="str">
        <f t="shared" si="11"/>
        <v>2024/06/15</v>
      </c>
      <c r="G70" s="1" t="str">
        <f t="shared" si="12"/>
        <v>株式会社日本信用調査</v>
      </c>
      <c r="H70" s="1" t="str">
        <f t="shared" si="13"/>
        <v xml:space="preserve"> 005000</v>
      </c>
      <c r="I70" s="1" t="str">
        <f t="shared" si="14"/>
        <v>経理部</v>
      </c>
      <c r="J70" s="1">
        <f t="shared" si="15"/>
        <v>63000</v>
      </c>
      <c r="K70" s="1" t="str">
        <f t="shared" si="16"/>
        <v>登記簿取得代行</v>
      </c>
    </row>
    <row r="71" spans="1:11" x14ac:dyDescent="0.7">
      <c r="A71" s="2" t="str" cm="1">
        <f t="array" ref="A71">IFERROR(INDEX(貼付シート!$D$1:$D$10000,SMALL(貼付シート!$A$1:$A$10000,C71)),"")</f>
        <v>EMP-00504 岡田　七海　　　　　 2024/06/22 合同会社オフィスサポート　　　　      41000 事務机リース料</v>
      </c>
      <c r="B71" s="2" t="str" cm="1">
        <f t="array" ref="B71">IFERROR(INDEX(貼付シート!$B$1:$B$10000,SMALL(貼付シート!$A$1:$A$10000,C71)+1),"")</f>
        <v>【005000 経理部　　　　　　　】（つづき）</v>
      </c>
      <c r="C71" s="1">
        <v>70</v>
      </c>
      <c r="D71" s="1" t="str">
        <f t="shared" si="9"/>
        <v>EMP-00504</v>
      </c>
      <c r="E71" s="1" t="str">
        <f t="shared" si="10"/>
        <v>岡田　七海</v>
      </c>
      <c r="F71" s="1" t="str">
        <f t="shared" si="11"/>
        <v>2024/06/22</v>
      </c>
      <c r="G71" s="1" t="str">
        <f t="shared" si="12"/>
        <v>合同会社オフィスサポート</v>
      </c>
      <c r="H71" s="1" t="str">
        <f t="shared" si="13"/>
        <v xml:space="preserve"> 005000</v>
      </c>
      <c r="I71" s="1" t="str">
        <f t="shared" si="14"/>
        <v>経理部</v>
      </c>
      <c r="J71" s="1">
        <f t="shared" si="15"/>
        <v>41000</v>
      </c>
      <c r="K71" s="1" t="str">
        <f t="shared" si="16"/>
        <v>事務机リース料</v>
      </c>
    </row>
    <row r="72" spans="1:11" x14ac:dyDescent="0.7">
      <c r="A72" s="2" t="str" cm="1">
        <f t="array" ref="A72">IFERROR(INDEX(貼付シート!$D$1:$D$10000,SMALL(貼付シート!$A$1:$A$10000,C72)),"")</f>
        <v/>
      </c>
      <c r="B72" s="2" t="str" cm="1">
        <f t="array" ref="B72">IFERROR(INDEX(貼付シート!$B$1:$B$10000,SMALL(貼付シート!$A$1:$A$10000,C72)+1),"")</f>
        <v/>
      </c>
      <c r="C72" s="1">
        <v>71</v>
      </c>
      <c r="D72" s="1" t="str">
        <f t="shared" si="9"/>
        <v/>
      </c>
      <c r="E72" s="1" t="str">
        <f t="shared" si="10"/>
        <v/>
      </c>
      <c r="F72" s="1" t="str">
        <f t="shared" si="11"/>
        <v/>
      </c>
      <c r="G72" s="1" t="str">
        <f t="shared" si="12"/>
        <v/>
      </c>
      <c r="H72" s="1" t="str">
        <f t="shared" si="13"/>
        <v/>
      </c>
      <c r="I72" s="1" t="str">
        <f t="shared" si="14"/>
        <v/>
      </c>
      <c r="J72" s="1" t="str">
        <f t="shared" si="15"/>
        <v/>
      </c>
      <c r="K72" s="1" t="str">
        <f t="shared" si="16"/>
        <v/>
      </c>
    </row>
    <row r="73" spans="1:11" x14ac:dyDescent="0.7">
      <c r="A73" s="2" t="str" cm="1">
        <f t="array" ref="A73">IFERROR(INDEX(貼付シート!$D$1:$D$10000,SMALL(貼付シート!$A$1:$A$10000,C73)),"")</f>
        <v/>
      </c>
      <c r="B73" s="2" t="str" cm="1">
        <f t="array" ref="B73">IFERROR(INDEX(貼付シート!$B$1:$B$10000,SMALL(貼付シート!$A$1:$A$10000,C73)+1),"")</f>
        <v/>
      </c>
      <c r="C73" s="1">
        <v>72</v>
      </c>
      <c r="D73" s="1" t="str">
        <f t="shared" si="9"/>
        <v/>
      </c>
      <c r="E73" s="1" t="str">
        <f t="shared" si="10"/>
        <v/>
      </c>
      <c r="F73" s="1" t="str">
        <f t="shared" si="11"/>
        <v/>
      </c>
      <c r="G73" s="1" t="str">
        <f t="shared" si="12"/>
        <v/>
      </c>
      <c r="H73" s="1" t="str">
        <f t="shared" si="13"/>
        <v/>
      </c>
      <c r="I73" s="1" t="str">
        <f t="shared" si="14"/>
        <v/>
      </c>
      <c r="J73" s="1" t="str">
        <f t="shared" si="15"/>
        <v/>
      </c>
      <c r="K73" s="1" t="str">
        <f t="shared" si="16"/>
        <v/>
      </c>
    </row>
    <row r="74" spans="1:11" x14ac:dyDescent="0.7">
      <c r="A74" s="2" t="str" cm="1">
        <f t="array" ref="A74">IFERROR(INDEX(貼付シート!$D$1:$D$10000,SMALL(貼付シート!$A$1:$A$10000,C74)),"")</f>
        <v/>
      </c>
      <c r="B74" s="2" t="str" cm="1">
        <f t="array" ref="B74">IFERROR(INDEX(貼付シート!$B$1:$B$10000,SMALL(貼付シート!$A$1:$A$10000,C74)+1),"")</f>
        <v/>
      </c>
      <c r="C74" s="1">
        <v>73</v>
      </c>
      <c r="D74" s="1" t="str">
        <f t="shared" si="9"/>
        <v/>
      </c>
      <c r="E74" s="1" t="str">
        <f t="shared" si="10"/>
        <v/>
      </c>
      <c r="F74" s="1" t="str">
        <f t="shared" si="11"/>
        <v/>
      </c>
      <c r="G74" s="1" t="str">
        <f t="shared" si="12"/>
        <v/>
      </c>
      <c r="H74" s="1" t="str">
        <f t="shared" si="13"/>
        <v/>
      </c>
      <c r="I74" s="1" t="str">
        <f t="shared" si="14"/>
        <v/>
      </c>
      <c r="J74" s="1" t="str">
        <f t="shared" si="15"/>
        <v/>
      </c>
      <c r="K74" s="1" t="str">
        <f t="shared" si="16"/>
        <v/>
      </c>
    </row>
    <row r="75" spans="1:11" x14ac:dyDescent="0.7">
      <c r="A75" s="2" t="str" cm="1">
        <f t="array" ref="A75">IFERROR(INDEX(貼付シート!$D$1:$D$10000,SMALL(貼付シート!$A$1:$A$10000,C75)),"")</f>
        <v/>
      </c>
      <c r="B75" s="2" t="str" cm="1">
        <f t="array" ref="B75">IFERROR(INDEX(貼付シート!$B$1:$B$10000,SMALL(貼付シート!$A$1:$A$10000,C75)+1),"")</f>
        <v/>
      </c>
      <c r="C75" s="1">
        <v>74</v>
      </c>
      <c r="D75" s="1" t="str">
        <f t="shared" si="9"/>
        <v/>
      </c>
      <c r="E75" s="1" t="str">
        <f t="shared" si="10"/>
        <v/>
      </c>
      <c r="F75" s="1" t="str">
        <f t="shared" si="11"/>
        <v/>
      </c>
      <c r="G75" s="1" t="str">
        <f t="shared" si="12"/>
        <v/>
      </c>
      <c r="H75" s="1" t="str">
        <f t="shared" si="13"/>
        <v/>
      </c>
      <c r="I75" s="1" t="str">
        <f t="shared" si="14"/>
        <v/>
      </c>
      <c r="J75" s="1" t="str">
        <f t="shared" si="15"/>
        <v/>
      </c>
      <c r="K75" s="1" t="str">
        <f t="shared" si="16"/>
        <v/>
      </c>
    </row>
    <row r="76" spans="1:11" x14ac:dyDescent="0.7">
      <c r="A76" s="2" t="str" cm="1">
        <f t="array" ref="A76">IFERROR(INDEX(貼付シート!$D$1:$D$10000,SMALL(貼付シート!$A$1:$A$10000,C76)),"")</f>
        <v/>
      </c>
      <c r="B76" s="2" t="str" cm="1">
        <f t="array" ref="B76">IFERROR(INDEX(貼付シート!$B$1:$B$10000,SMALL(貼付シート!$A$1:$A$10000,C76)+1),"")</f>
        <v/>
      </c>
      <c r="C76" s="1">
        <v>75</v>
      </c>
      <c r="D76" s="1" t="str">
        <f t="shared" si="9"/>
        <v/>
      </c>
      <c r="E76" s="1" t="str">
        <f t="shared" si="10"/>
        <v/>
      </c>
      <c r="F76" s="1" t="str">
        <f t="shared" si="11"/>
        <v/>
      </c>
      <c r="G76" s="1" t="str">
        <f t="shared" si="12"/>
        <v/>
      </c>
      <c r="H76" s="1" t="str">
        <f t="shared" si="13"/>
        <v/>
      </c>
      <c r="I76" s="1" t="str">
        <f t="shared" si="14"/>
        <v/>
      </c>
      <c r="J76" s="1" t="str">
        <f t="shared" si="15"/>
        <v/>
      </c>
      <c r="K76" s="1" t="str">
        <f t="shared" si="16"/>
        <v/>
      </c>
    </row>
    <row r="77" spans="1:11" x14ac:dyDescent="0.7">
      <c r="A77" s="2" t="str" cm="1">
        <f t="array" ref="A77">IFERROR(INDEX(貼付シート!$D$1:$D$10000,SMALL(貼付シート!$A$1:$A$10000,C77)),"")</f>
        <v/>
      </c>
      <c r="B77" s="2" t="str" cm="1">
        <f t="array" ref="B77">IFERROR(INDEX(貼付シート!$B$1:$B$10000,SMALL(貼付シート!$A$1:$A$10000,C77)+1),"")</f>
        <v/>
      </c>
      <c r="C77" s="1">
        <v>76</v>
      </c>
      <c r="D77" s="1" t="str">
        <f t="shared" si="9"/>
        <v/>
      </c>
      <c r="E77" s="1" t="str">
        <f t="shared" si="10"/>
        <v/>
      </c>
      <c r="F77" s="1" t="str">
        <f t="shared" si="11"/>
        <v/>
      </c>
      <c r="G77" s="1" t="str">
        <f t="shared" si="12"/>
        <v/>
      </c>
      <c r="H77" s="1" t="str">
        <f t="shared" si="13"/>
        <v/>
      </c>
      <c r="I77" s="1" t="str">
        <f t="shared" si="14"/>
        <v/>
      </c>
      <c r="J77" s="1" t="str">
        <f t="shared" si="15"/>
        <v/>
      </c>
      <c r="K77" s="1" t="str">
        <f t="shared" si="16"/>
        <v/>
      </c>
    </row>
    <row r="78" spans="1:11" x14ac:dyDescent="0.7">
      <c r="A78" s="2" t="str" cm="1">
        <f t="array" ref="A78">IFERROR(INDEX(貼付シート!$D$1:$D$10000,SMALL(貼付シート!$A$1:$A$10000,C78)),"")</f>
        <v/>
      </c>
      <c r="B78" s="2" t="str" cm="1">
        <f t="array" ref="B78">IFERROR(INDEX(貼付シート!$B$1:$B$10000,SMALL(貼付シート!$A$1:$A$10000,C78)+1),"")</f>
        <v/>
      </c>
      <c r="C78" s="1">
        <v>77</v>
      </c>
      <c r="D78" s="1" t="str">
        <f t="shared" si="9"/>
        <v/>
      </c>
      <c r="E78" s="1" t="str">
        <f t="shared" si="10"/>
        <v/>
      </c>
      <c r="F78" s="1" t="str">
        <f t="shared" si="11"/>
        <v/>
      </c>
      <c r="G78" s="1" t="str">
        <f t="shared" si="12"/>
        <v/>
      </c>
      <c r="H78" s="1" t="str">
        <f t="shared" si="13"/>
        <v/>
      </c>
      <c r="I78" s="1" t="str">
        <f t="shared" si="14"/>
        <v/>
      </c>
      <c r="J78" s="1" t="str">
        <f t="shared" si="15"/>
        <v/>
      </c>
      <c r="K78" s="1" t="str">
        <f t="shared" si="16"/>
        <v/>
      </c>
    </row>
    <row r="79" spans="1:11" x14ac:dyDescent="0.7">
      <c r="A79" s="2" t="str" cm="1">
        <f t="array" ref="A79">IFERROR(INDEX(貼付シート!$D$1:$D$10000,SMALL(貼付シート!$A$1:$A$10000,C79)),"")</f>
        <v/>
      </c>
      <c r="B79" s="2" t="str" cm="1">
        <f t="array" ref="B79">IFERROR(INDEX(貼付シート!$B$1:$B$10000,SMALL(貼付シート!$A$1:$A$10000,C79)+1),"")</f>
        <v/>
      </c>
      <c r="C79" s="1">
        <v>78</v>
      </c>
      <c r="D79" s="1" t="str">
        <f t="shared" si="9"/>
        <v/>
      </c>
      <c r="E79" s="1" t="str">
        <f t="shared" si="10"/>
        <v/>
      </c>
      <c r="F79" s="1" t="str">
        <f t="shared" si="11"/>
        <v/>
      </c>
      <c r="G79" s="1" t="str">
        <f t="shared" si="12"/>
        <v/>
      </c>
      <c r="H79" s="1" t="str">
        <f t="shared" si="13"/>
        <v/>
      </c>
      <c r="I79" s="1" t="str">
        <f t="shared" si="14"/>
        <v/>
      </c>
      <c r="J79" s="1" t="str">
        <f t="shared" si="15"/>
        <v/>
      </c>
      <c r="K79" s="1" t="str">
        <f t="shared" si="16"/>
        <v/>
      </c>
    </row>
    <row r="80" spans="1:11" x14ac:dyDescent="0.7">
      <c r="A80" s="2" t="str" cm="1">
        <f t="array" ref="A80">IFERROR(INDEX(貼付シート!$D$1:$D$10000,SMALL(貼付シート!$A$1:$A$10000,C80)),"")</f>
        <v/>
      </c>
      <c r="B80" s="2" t="str" cm="1">
        <f t="array" ref="B80">IFERROR(INDEX(貼付シート!$B$1:$B$10000,SMALL(貼付シート!$A$1:$A$10000,C80)+1),"")</f>
        <v/>
      </c>
      <c r="C80" s="1">
        <v>79</v>
      </c>
      <c r="D80" s="1" t="str">
        <f t="shared" si="9"/>
        <v/>
      </c>
      <c r="E80" s="1" t="str">
        <f t="shared" si="10"/>
        <v/>
      </c>
      <c r="F80" s="1" t="str">
        <f t="shared" si="11"/>
        <v/>
      </c>
      <c r="G80" s="1" t="str">
        <f t="shared" si="12"/>
        <v/>
      </c>
      <c r="H80" s="1" t="str">
        <f t="shared" si="13"/>
        <v/>
      </c>
      <c r="I80" s="1" t="str">
        <f t="shared" si="14"/>
        <v/>
      </c>
      <c r="J80" s="1" t="str">
        <f t="shared" si="15"/>
        <v/>
      </c>
      <c r="K80" s="1" t="str">
        <f t="shared" si="16"/>
        <v/>
      </c>
    </row>
    <row r="81" spans="1:11" x14ac:dyDescent="0.7">
      <c r="A81" s="2" t="str" cm="1">
        <f t="array" ref="A81">IFERROR(INDEX(貼付シート!$D$1:$D$10000,SMALL(貼付シート!$A$1:$A$10000,C81)),"")</f>
        <v/>
      </c>
      <c r="B81" s="2" t="str" cm="1">
        <f t="array" ref="B81">IFERROR(INDEX(貼付シート!$B$1:$B$10000,SMALL(貼付シート!$A$1:$A$10000,C81)+1),"")</f>
        <v/>
      </c>
      <c r="C81" s="1">
        <v>80</v>
      </c>
      <c r="D81" s="1" t="str">
        <f t="shared" si="9"/>
        <v/>
      </c>
      <c r="E81" s="1" t="str">
        <f t="shared" si="10"/>
        <v/>
      </c>
      <c r="F81" s="1" t="str">
        <f t="shared" si="11"/>
        <v/>
      </c>
      <c r="G81" s="1" t="str">
        <f t="shared" si="12"/>
        <v/>
      </c>
      <c r="H81" s="1" t="str">
        <f t="shared" si="13"/>
        <v/>
      </c>
      <c r="I81" s="1" t="str">
        <f t="shared" si="14"/>
        <v/>
      </c>
      <c r="J81" s="1" t="str">
        <f t="shared" si="15"/>
        <v/>
      </c>
      <c r="K81" s="1" t="str">
        <f t="shared" si="16"/>
        <v/>
      </c>
    </row>
    <row r="82" spans="1:11" x14ac:dyDescent="0.7">
      <c r="A82" s="2" t="str" cm="1">
        <f t="array" ref="A82">IFERROR(INDEX(貼付シート!$D$1:$D$10000,SMALL(貼付シート!$A$1:$A$10000,C82)),"")</f>
        <v/>
      </c>
      <c r="B82" s="2" t="str" cm="1">
        <f t="array" ref="B82">IFERROR(INDEX(貼付シート!$B$1:$B$10000,SMALL(貼付シート!$A$1:$A$10000,C82)+1),"")</f>
        <v/>
      </c>
      <c r="C82" s="1">
        <v>81</v>
      </c>
      <c r="D82" s="1" t="str">
        <f t="shared" si="9"/>
        <v/>
      </c>
      <c r="E82" s="1" t="str">
        <f t="shared" si="10"/>
        <v/>
      </c>
      <c r="F82" s="1" t="str">
        <f t="shared" si="11"/>
        <v/>
      </c>
      <c r="G82" s="1" t="str">
        <f t="shared" si="12"/>
        <v/>
      </c>
      <c r="H82" s="1" t="str">
        <f t="shared" si="13"/>
        <v/>
      </c>
      <c r="I82" s="1" t="str">
        <f t="shared" si="14"/>
        <v/>
      </c>
      <c r="J82" s="1" t="str">
        <f t="shared" si="15"/>
        <v/>
      </c>
      <c r="K82" s="1" t="str">
        <f t="shared" si="16"/>
        <v/>
      </c>
    </row>
    <row r="83" spans="1:11" x14ac:dyDescent="0.7">
      <c r="A83" s="2" t="str" cm="1">
        <f t="array" ref="A83">IFERROR(INDEX(貼付シート!$D$1:$D$10000,SMALL(貼付シート!$A$1:$A$10000,C83)),"")</f>
        <v/>
      </c>
      <c r="B83" s="2" t="str" cm="1">
        <f t="array" ref="B83">IFERROR(INDEX(貼付シート!$B$1:$B$10000,SMALL(貼付シート!$A$1:$A$10000,C83)+1),"")</f>
        <v/>
      </c>
      <c r="C83" s="1">
        <v>82</v>
      </c>
      <c r="D83" s="1" t="str">
        <f t="shared" si="9"/>
        <v/>
      </c>
      <c r="E83" s="1" t="str">
        <f t="shared" si="10"/>
        <v/>
      </c>
      <c r="F83" s="1" t="str">
        <f t="shared" si="11"/>
        <v/>
      </c>
      <c r="G83" s="1" t="str">
        <f t="shared" si="12"/>
        <v/>
      </c>
      <c r="H83" s="1" t="str">
        <f t="shared" si="13"/>
        <v/>
      </c>
      <c r="I83" s="1" t="str">
        <f t="shared" si="14"/>
        <v/>
      </c>
      <c r="J83" s="1" t="str">
        <f t="shared" si="15"/>
        <v/>
      </c>
      <c r="K83" s="1" t="str">
        <f t="shared" si="16"/>
        <v/>
      </c>
    </row>
    <row r="84" spans="1:11" x14ac:dyDescent="0.7">
      <c r="A84" s="2" t="str" cm="1">
        <f t="array" ref="A84">IFERROR(INDEX(貼付シート!$D$1:$D$10000,SMALL(貼付シート!$A$1:$A$10000,C84)),"")</f>
        <v/>
      </c>
      <c r="B84" s="2" t="str" cm="1">
        <f t="array" ref="B84">IFERROR(INDEX(貼付シート!$B$1:$B$10000,SMALL(貼付シート!$A$1:$A$10000,C84)+1),"")</f>
        <v/>
      </c>
      <c r="C84" s="1">
        <v>83</v>
      </c>
      <c r="D84" s="1" t="str">
        <f t="shared" si="9"/>
        <v/>
      </c>
      <c r="E84" s="1" t="str">
        <f t="shared" si="10"/>
        <v/>
      </c>
      <c r="F84" s="1" t="str">
        <f t="shared" si="11"/>
        <v/>
      </c>
      <c r="G84" s="1" t="str">
        <f t="shared" si="12"/>
        <v/>
      </c>
      <c r="H84" s="1" t="str">
        <f t="shared" si="13"/>
        <v/>
      </c>
      <c r="I84" s="1" t="str">
        <f t="shared" si="14"/>
        <v/>
      </c>
      <c r="J84" s="1" t="str">
        <f t="shared" si="15"/>
        <v/>
      </c>
      <c r="K84" s="1" t="str">
        <f t="shared" si="16"/>
        <v/>
      </c>
    </row>
    <row r="85" spans="1:11" x14ac:dyDescent="0.7">
      <c r="A85" s="2" t="str" cm="1">
        <f t="array" ref="A85">IFERROR(INDEX(貼付シート!$D$1:$D$10000,SMALL(貼付シート!$A$1:$A$10000,C85)),"")</f>
        <v/>
      </c>
      <c r="B85" s="2" t="str" cm="1">
        <f t="array" ref="B85">IFERROR(INDEX(貼付シート!$B$1:$B$10000,SMALL(貼付シート!$A$1:$A$10000,C85)+1),"")</f>
        <v/>
      </c>
      <c r="C85" s="1">
        <v>84</v>
      </c>
      <c r="D85" s="1" t="str">
        <f t="shared" si="9"/>
        <v/>
      </c>
      <c r="E85" s="1" t="str">
        <f t="shared" si="10"/>
        <v/>
      </c>
      <c r="F85" s="1" t="str">
        <f t="shared" si="11"/>
        <v/>
      </c>
      <c r="G85" s="1" t="str">
        <f t="shared" si="12"/>
        <v/>
      </c>
      <c r="H85" s="1" t="str">
        <f t="shared" si="13"/>
        <v/>
      </c>
      <c r="I85" s="1" t="str">
        <f t="shared" si="14"/>
        <v/>
      </c>
      <c r="J85" s="1" t="str">
        <f t="shared" si="15"/>
        <v/>
      </c>
      <c r="K85" s="1" t="str">
        <f t="shared" si="16"/>
        <v/>
      </c>
    </row>
    <row r="86" spans="1:11" x14ac:dyDescent="0.7">
      <c r="A86" s="2" t="str" cm="1">
        <f t="array" ref="A86">IFERROR(INDEX(貼付シート!$D$1:$D$10000,SMALL(貼付シート!$A$1:$A$10000,C86)),"")</f>
        <v/>
      </c>
      <c r="B86" s="2" t="str" cm="1">
        <f t="array" ref="B86">IFERROR(INDEX(貼付シート!$B$1:$B$10000,SMALL(貼付シート!$A$1:$A$10000,C86)+1),"")</f>
        <v/>
      </c>
      <c r="C86" s="1">
        <v>85</v>
      </c>
      <c r="D86" s="1" t="str">
        <f t="shared" si="9"/>
        <v/>
      </c>
      <c r="E86" s="1" t="str">
        <f t="shared" si="10"/>
        <v/>
      </c>
      <c r="F86" s="1" t="str">
        <f t="shared" si="11"/>
        <v/>
      </c>
      <c r="G86" s="1" t="str">
        <f t="shared" si="12"/>
        <v/>
      </c>
      <c r="H86" s="1" t="str">
        <f t="shared" si="13"/>
        <v/>
      </c>
      <c r="I86" s="1" t="str">
        <f t="shared" si="14"/>
        <v/>
      </c>
      <c r="J86" s="1" t="str">
        <f t="shared" si="15"/>
        <v/>
      </c>
      <c r="K86" s="1" t="str">
        <f t="shared" si="16"/>
        <v/>
      </c>
    </row>
    <row r="87" spans="1:11" x14ac:dyDescent="0.7">
      <c r="A87" s="2" t="str" cm="1">
        <f t="array" ref="A87">IFERROR(INDEX(貼付シート!$D$1:$D$10000,SMALL(貼付シート!$A$1:$A$10000,C87)),"")</f>
        <v/>
      </c>
      <c r="B87" s="2" t="str" cm="1">
        <f t="array" ref="B87">IFERROR(INDEX(貼付シート!$B$1:$B$10000,SMALL(貼付シート!$A$1:$A$10000,C87)+1),"")</f>
        <v/>
      </c>
      <c r="C87" s="1">
        <v>86</v>
      </c>
      <c r="D87" s="1" t="str">
        <f t="shared" si="9"/>
        <v/>
      </c>
      <c r="E87" s="1" t="str">
        <f t="shared" si="10"/>
        <v/>
      </c>
      <c r="F87" s="1" t="str">
        <f t="shared" si="11"/>
        <v/>
      </c>
      <c r="G87" s="1" t="str">
        <f t="shared" si="12"/>
        <v/>
      </c>
      <c r="H87" s="1" t="str">
        <f t="shared" si="13"/>
        <v/>
      </c>
      <c r="I87" s="1" t="str">
        <f t="shared" si="14"/>
        <v/>
      </c>
      <c r="J87" s="1" t="str">
        <f t="shared" si="15"/>
        <v/>
      </c>
      <c r="K87" s="1" t="str">
        <f t="shared" si="16"/>
        <v/>
      </c>
    </row>
    <row r="88" spans="1:11" x14ac:dyDescent="0.7">
      <c r="A88" s="2" t="str" cm="1">
        <f t="array" ref="A88">IFERROR(INDEX(貼付シート!$D$1:$D$10000,SMALL(貼付シート!$A$1:$A$10000,C88)),"")</f>
        <v/>
      </c>
      <c r="B88" s="2" t="str" cm="1">
        <f t="array" ref="B88">IFERROR(INDEX(貼付シート!$B$1:$B$10000,SMALL(貼付シート!$A$1:$A$10000,C88)+1),"")</f>
        <v/>
      </c>
      <c r="C88" s="1">
        <v>87</v>
      </c>
      <c r="D88" s="1" t="str">
        <f t="shared" si="9"/>
        <v/>
      </c>
      <c r="E88" s="1" t="str">
        <f t="shared" si="10"/>
        <v/>
      </c>
      <c r="F88" s="1" t="str">
        <f t="shared" si="11"/>
        <v/>
      </c>
      <c r="G88" s="1" t="str">
        <f t="shared" si="12"/>
        <v/>
      </c>
      <c r="H88" s="1" t="str">
        <f t="shared" si="13"/>
        <v/>
      </c>
      <c r="I88" s="1" t="str">
        <f t="shared" si="14"/>
        <v/>
      </c>
      <c r="J88" s="1" t="str">
        <f t="shared" si="15"/>
        <v/>
      </c>
      <c r="K88" s="1" t="str">
        <f t="shared" si="16"/>
        <v/>
      </c>
    </row>
    <row r="89" spans="1:11" x14ac:dyDescent="0.7">
      <c r="A89" s="2" t="str" cm="1">
        <f t="array" ref="A89">IFERROR(INDEX(貼付シート!$D$1:$D$10000,SMALL(貼付シート!$A$1:$A$10000,C89)),"")</f>
        <v/>
      </c>
      <c r="B89" s="2" t="str" cm="1">
        <f t="array" ref="B89">IFERROR(INDEX(貼付シート!$B$1:$B$10000,SMALL(貼付シート!$A$1:$A$10000,C89)+1),"")</f>
        <v/>
      </c>
      <c r="C89" s="1">
        <v>88</v>
      </c>
      <c r="D89" s="1" t="str">
        <f t="shared" si="9"/>
        <v/>
      </c>
      <c r="E89" s="1" t="str">
        <f t="shared" si="10"/>
        <v/>
      </c>
      <c r="F89" s="1" t="str">
        <f t="shared" si="11"/>
        <v/>
      </c>
      <c r="G89" s="1" t="str">
        <f t="shared" si="12"/>
        <v/>
      </c>
      <c r="H89" s="1" t="str">
        <f t="shared" si="13"/>
        <v/>
      </c>
      <c r="I89" s="1" t="str">
        <f t="shared" si="14"/>
        <v/>
      </c>
      <c r="J89" s="1" t="str">
        <f t="shared" si="15"/>
        <v/>
      </c>
      <c r="K89" s="1" t="str">
        <f t="shared" si="16"/>
        <v/>
      </c>
    </row>
    <row r="90" spans="1:11" x14ac:dyDescent="0.7">
      <c r="A90" s="2" t="str" cm="1">
        <f t="array" ref="A90">IFERROR(INDEX(貼付シート!$D$1:$D$10000,SMALL(貼付シート!$A$1:$A$10000,C90)),"")</f>
        <v/>
      </c>
      <c r="B90" s="2" t="str" cm="1">
        <f t="array" ref="B90">IFERROR(INDEX(貼付シート!$B$1:$B$10000,SMALL(貼付シート!$A$1:$A$10000,C90)+1),"")</f>
        <v/>
      </c>
      <c r="C90" s="1">
        <v>89</v>
      </c>
      <c r="D90" s="1" t="str">
        <f t="shared" si="9"/>
        <v/>
      </c>
      <c r="E90" s="1" t="str">
        <f t="shared" si="10"/>
        <v/>
      </c>
      <c r="F90" s="1" t="str">
        <f t="shared" si="11"/>
        <v/>
      </c>
      <c r="G90" s="1" t="str">
        <f t="shared" si="12"/>
        <v/>
      </c>
      <c r="H90" s="1" t="str">
        <f t="shared" si="13"/>
        <v/>
      </c>
      <c r="I90" s="1" t="str">
        <f t="shared" si="14"/>
        <v/>
      </c>
      <c r="J90" s="1" t="str">
        <f t="shared" si="15"/>
        <v/>
      </c>
      <c r="K90" s="1" t="str">
        <f t="shared" si="16"/>
        <v/>
      </c>
    </row>
    <row r="91" spans="1:11" x14ac:dyDescent="0.7">
      <c r="A91" s="2" t="str" cm="1">
        <f t="array" ref="A91">IFERROR(INDEX(貼付シート!$D$1:$D$10000,SMALL(貼付シート!$A$1:$A$10000,C91)),"")</f>
        <v/>
      </c>
      <c r="B91" s="2" t="str" cm="1">
        <f t="array" ref="B91">IFERROR(INDEX(貼付シート!$B$1:$B$10000,SMALL(貼付シート!$A$1:$A$10000,C91)+1),"")</f>
        <v/>
      </c>
      <c r="C91" s="1">
        <v>90</v>
      </c>
      <c r="D91" s="1" t="str">
        <f t="shared" si="9"/>
        <v/>
      </c>
      <c r="E91" s="1" t="str">
        <f t="shared" si="10"/>
        <v/>
      </c>
      <c r="F91" s="1" t="str">
        <f t="shared" si="11"/>
        <v/>
      </c>
      <c r="G91" s="1" t="str">
        <f t="shared" si="12"/>
        <v/>
      </c>
      <c r="H91" s="1" t="str">
        <f t="shared" si="13"/>
        <v/>
      </c>
      <c r="I91" s="1" t="str">
        <f t="shared" si="14"/>
        <v/>
      </c>
      <c r="J91" s="1" t="str">
        <f t="shared" si="15"/>
        <v/>
      </c>
      <c r="K91" s="1" t="str">
        <f t="shared" si="16"/>
        <v/>
      </c>
    </row>
    <row r="92" spans="1:11" x14ac:dyDescent="0.7">
      <c r="A92" s="2" t="str" cm="1">
        <f t="array" ref="A92">IFERROR(INDEX(貼付シート!$D$1:$D$10000,SMALL(貼付シート!$A$1:$A$10000,C92)),"")</f>
        <v/>
      </c>
      <c r="B92" s="2" t="str" cm="1">
        <f t="array" ref="B92">IFERROR(INDEX(貼付シート!$B$1:$B$10000,SMALL(貼付シート!$A$1:$A$10000,C92)+1),"")</f>
        <v/>
      </c>
      <c r="C92" s="1">
        <v>91</v>
      </c>
      <c r="D92" s="1" t="str">
        <f t="shared" si="9"/>
        <v/>
      </c>
      <c r="E92" s="1" t="str">
        <f t="shared" si="10"/>
        <v/>
      </c>
      <c r="F92" s="1" t="str">
        <f t="shared" si="11"/>
        <v/>
      </c>
      <c r="G92" s="1" t="str">
        <f t="shared" si="12"/>
        <v/>
      </c>
      <c r="H92" s="1" t="str">
        <f t="shared" si="13"/>
        <v/>
      </c>
      <c r="I92" s="1" t="str">
        <f t="shared" si="14"/>
        <v/>
      </c>
      <c r="J92" s="1" t="str">
        <f t="shared" si="15"/>
        <v/>
      </c>
      <c r="K92" s="1" t="str">
        <f t="shared" si="16"/>
        <v/>
      </c>
    </row>
    <row r="93" spans="1:11" x14ac:dyDescent="0.7">
      <c r="A93" s="2" t="str" cm="1">
        <f t="array" ref="A93">IFERROR(INDEX(貼付シート!$D$1:$D$10000,SMALL(貼付シート!$A$1:$A$10000,C93)),"")</f>
        <v/>
      </c>
      <c r="B93" s="2" t="str" cm="1">
        <f t="array" ref="B93">IFERROR(INDEX(貼付シート!$B$1:$B$10000,SMALL(貼付シート!$A$1:$A$10000,C93)+1),"")</f>
        <v/>
      </c>
      <c r="C93" s="1">
        <v>92</v>
      </c>
      <c r="D93" s="1" t="str">
        <f t="shared" si="9"/>
        <v/>
      </c>
      <c r="E93" s="1" t="str">
        <f t="shared" si="10"/>
        <v/>
      </c>
      <c r="F93" s="1" t="str">
        <f t="shared" si="11"/>
        <v/>
      </c>
      <c r="G93" s="1" t="str">
        <f t="shared" si="12"/>
        <v/>
      </c>
      <c r="H93" s="1" t="str">
        <f t="shared" si="13"/>
        <v/>
      </c>
      <c r="I93" s="1" t="str">
        <f t="shared" si="14"/>
        <v/>
      </c>
      <c r="J93" s="1" t="str">
        <f t="shared" si="15"/>
        <v/>
      </c>
      <c r="K93" s="1" t="str">
        <f t="shared" si="16"/>
        <v/>
      </c>
    </row>
    <row r="94" spans="1:11" x14ac:dyDescent="0.7">
      <c r="A94" s="2" t="str" cm="1">
        <f t="array" ref="A94">IFERROR(INDEX(貼付シート!$D$1:$D$10000,SMALL(貼付シート!$A$1:$A$10000,C94)),"")</f>
        <v/>
      </c>
      <c r="B94" s="2" t="str" cm="1">
        <f t="array" ref="B94">IFERROR(INDEX(貼付シート!$B$1:$B$10000,SMALL(貼付シート!$A$1:$A$10000,C94)+1),"")</f>
        <v/>
      </c>
      <c r="C94" s="1">
        <v>93</v>
      </c>
      <c r="D94" s="1" t="str">
        <f t="shared" si="9"/>
        <v/>
      </c>
      <c r="E94" s="1" t="str">
        <f t="shared" si="10"/>
        <v/>
      </c>
      <c r="F94" s="1" t="str">
        <f t="shared" si="11"/>
        <v/>
      </c>
      <c r="G94" s="1" t="str">
        <f t="shared" si="12"/>
        <v/>
      </c>
      <c r="H94" s="1" t="str">
        <f t="shared" si="13"/>
        <v/>
      </c>
      <c r="I94" s="1" t="str">
        <f t="shared" si="14"/>
        <v/>
      </c>
      <c r="J94" s="1" t="str">
        <f t="shared" si="15"/>
        <v/>
      </c>
      <c r="K94" s="1" t="str">
        <f t="shared" si="16"/>
        <v/>
      </c>
    </row>
    <row r="95" spans="1:11" x14ac:dyDescent="0.7">
      <c r="A95" s="2" t="str" cm="1">
        <f t="array" ref="A95">IFERROR(INDEX(貼付シート!$D$1:$D$10000,SMALL(貼付シート!$A$1:$A$10000,C95)),"")</f>
        <v/>
      </c>
      <c r="B95" s="2" t="str" cm="1">
        <f t="array" ref="B95">IFERROR(INDEX(貼付シート!$B$1:$B$10000,SMALL(貼付シート!$A$1:$A$10000,C95)+1),"")</f>
        <v/>
      </c>
      <c r="C95" s="1">
        <v>94</v>
      </c>
      <c r="D95" s="1" t="str">
        <f t="shared" si="9"/>
        <v/>
      </c>
      <c r="E95" s="1" t="str">
        <f t="shared" si="10"/>
        <v/>
      </c>
      <c r="F95" s="1" t="str">
        <f t="shared" si="11"/>
        <v/>
      </c>
      <c r="G95" s="1" t="str">
        <f t="shared" si="12"/>
        <v/>
      </c>
      <c r="H95" s="1" t="str">
        <f t="shared" si="13"/>
        <v/>
      </c>
      <c r="I95" s="1" t="str">
        <f t="shared" si="14"/>
        <v/>
      </c>
      <c r="J95" s="1" t="str">
        <f t="shared" si="15"/>
        <v/>
      </c>
      <c r="K95" s="1" t="str">
        <f t="shared" si="16"/>
        <v/>
      </c>
    </row>
    <row r="96" spans="1:11" x14ac:dyDescent="0.7">
      <c r="A96" s="2" t="str" cm="1">
        <f t="array" ref="A96">IFERROR(INDEX(貼付シート!$D$1:$D$10000,SMALL(貼付シート!$A$1:$A$10000,C96)),"")</f>
        <v/>
      </c>
      <c r="B96" s="2" t="str" cm="1">
        <f t="array" ref="B96">IFERROR(INDEX(貼付シート!$B$1:$B$10000,SMALL(貼付シート!$A$1:$A$10000,C96)+1),"")</f>
        <v/>
      </c>
      <c r="C96" s="1">
        <v>95</v>
      </c>
      <c r="D96" s="1" t="str">
        <f t="shared" si="9"/>
        <v/>
      </c>
      <c r="E96" s="1" t="str">
        <f t="shared" si="10"/>
        <v/>
      </c>
      <c r="F96" s="1" t="str">
        <f t="shared" si="11"/>
        <v/>
      </c>
      <c r="G96" s="1" t="str">
        <f t="shared" si="12"/>
        <v/>
      </c>
      <c r="H96" s="1" t="str">
        <f t="shared" si="13"/>
        <v/>
      </c>
      <c r="I96" s="1" t="str">
        <f t="shared" si="14"/>
        <v/>
      </c>
      <c r="J96" s="1" t="str">
        <f t="shared" si="15"/>
        <v/>
      </c>
      <c r="K96" s="1" t="str">
        <f t="shared" si="16"/>
        <v/>
      </c>
    </row>
    <row r="97" spans="1:11" x14ac:dyDescent="0.7">
      <c r="A97" s="2" t="str" cm="1">
        <f t="array" ref="A97">IFERROR(INDEX(貼付シート!$D$1:$D$10000,SMALL(貼付シート!$A$1:$A$10000,C97)),"")</f>
        <v/>
      </c>
      <c r="B97" s="2" t="str" cm="1">
        <f t="array" ref="B97">IFERROR(INDEX(貼付シート!$B$1:$B$10000,SMALL(貼付シート!$A$1:$A$10000,C97)+1),"")</f>
        <v/>
      </c>
      <c r="C97" s="1">
        <v>96</v>
      </c>
      <c r="D97" s="1" t="str">
        <f t="shared" si="9"/>
        <v/>
      </c>
      <c r="E97" s="1" t="str">
        <f t="shared" si="10"/>
        <v/>
      </c>
      <c r="F97" s="1" t="str">
        <f t="shared" si="11"/>
        <v/>
      </c>
      <c r="G97" s="1" t="str">
        <f t="shared" si="12"/>
        <v/>
      </c>
      <c r="H97" s="1" t="str">
        <f t="shared" si="13"/>
        <v/>
      </c>
      <c r="I97" s="1" t="str">
        <f t="shared" si="14"/>
        <v/>
      </c>
      <c r="J97" s="1" t="str">
        <f t="shared" si="15"/>
        <v/>
      </c>
      <c r="K97" s="1" t="str">
        <f t="shared" si="16"/>
        <v/>
      </c>
    </row>
    <row r="98" spans="1:11" x14ac:dyDescent="0.7">
      <c r="A98" s="2" t="str" cm="1">
        <f t="array" ref="A98">IFERROR(INDEX(貼付シート!$D$1:$D$10000,SMALL(貼付シート!$A$1:$A$10000,C98)),"")</f>
        <v/>
      </c>
      <c r="B98" s="2" t="str" cm="1">
        <f t="array" ref="B98">IFERROR(INDEX(貼付シート!$B$1:$B$10000,SMALL(貼付シート!$A$1:$A$10000,C98)+1),"")</f>
        <v/>
      </c>
      <c r="C98" s="1">
        <v>97</v>
      </c>
      <c r="D98" s="1" t="str">
        <f t="shared" si="9"/>
        <v/>
      </c>
      <c r="E98" s="1" t="str">
        <f t="shared" si="10"/>
        <v/>
      </c>
      <c r="F98" s="1" t="str">
        <f t="shared" si="11"/>
        <v/>
      </c>
      <c r="G98" s="1" t="str">
        <f t="shared" si="12"/>
        <v/>
      </c>
      <c r="H98" s="1" t="str">
        <f t="shared" si="13"/>
        <v/>
      </c>
      <c r="I98" s="1" t="str">
        <f t="shared" si="14"/>
        <v/>
      </c>
      <c r="J98" s="1" t="str">
        <f t="shared" si="15"/>
        <v/>
      </c>
      <c r="K98" s="1" t="str">
        <f t="shared" si="16"/>
        <v/>
      </c>
    </row>
    <row r="99" spans="1:11" x14ac:dyDescent="0.7">
      <c r="A99" s="2" t="str" cm="1">
        <f t="array" ref="A99">IFERROR(INDEX(貼付シート!$D$1:$D$10000,SMALL(貼付シート!$A$1:$A$10000,C99)),"")</f>
        <v/>
      </c>
      <c r="B99" s="2" t="str" cm="1">
        <f t="array" ref="B99">IFERROR(INDEX(貼付シート!$B$1:$B$10000,SMALL(貼付シート!$A$1:$A$10000,C99)+1),"")</f>
        <v/>
      </c>
      <c r="C99" s="1">
        <v>98</v>
      </c>
      <c r="D99" s="1" t="str">
        <f t="shared" si="9"/>
        <v/>
      </c>
      <c r="E99" s="1" t="str">
        <f t="shared" si="10"/>
        <v/>
      </c>
      <c r="F99" s="1" t="str">
        <f t="shared" si="11"/>
        <v/>
      </c>
      <c r="G99" s="1" t="str">
        <f t="shared" si="12"/>
        <v/>
      </c>
      <c r="H99" s="1" t="str">
        <f t="shared" si="13"/>
        <v/>
      </c>
      <c r="I99" s="1" t="str">
        <f t="shared" si="14"/>
        <v/>
      </c>
      <c r="J99" s="1" t="str">
        <f t="shared" si="15"/>
        <v/>
      </c>
      <c r="K99" s="1" t="str">
        <f t="shared" si="16"/>
        <v/>
      </c>
    </row>
    <row r="100" spans="1:11" x14ac:dyDescent="0.7">
      <c r="A100" s="2" t="str" cm="1">
        <f t="array" ref="A100">IFERROR(INDEX(貼付シート!$D$1:$D$10000,SMALL(貼付シート!$A$1:$A$10000,C100)),"")</f>
        <v/>
      </c>
      <c r="B100" s="2" t="str" cm="1">
        <f t="array" ref="B100">IFERROR(INDEX(貼付シート!$B$1:$B$10000,SMALL(貼付シート!$A$1:$A$10000,C100)+1),"")</f>
        <v/>
      </c>
      <c r="C100" s="1">
        <v>99</v>
      </c>
      <c r="D100" s="1" t="str">
        <f t="shared" si="9"/>
        <v/>
      </c>
      <c r="E100" s="1" t="str">
        <f t="shared" si="10"/>
        <v/>
      </c>
      <c r="F100" s="1" t="str">
        <f t="shared" si="11"/>
        <v/>
      </c>
      <c r="G100" s="1" t="str">
        <f t="shared" si="12"/>
        <v/>
      </c>
      <c r="H100" s="1" t="str">
        <f t="shared" si="13"/>
        <v/>
      </c>
      <c r="I100" s="1" t="str">
        <f t="shared" si="14"/>
        <v/>
      </c>
      <c r="J100" s="1" t="str">
        <f t="shared" si="15"/>
        <v/>
      </c>
      <c r="K100" s="1" t="str">
        <f t="shared" si="16"/>
        <v/>
      </c>
    </row>
    <row r="101" spans="1:11" x14ac:dyDescent="0.7">
      <c r="A101" s="2" t="str" cm="1">
        <f t="array" ref="A101">IFERROR(INDEX(貼付シート!$D$1:$D$10000,SMALL(貼付シート!$A$1:$A$10000,C101)),"")</f>
        <v/>
      </c>
      <c r="B101" s="2" t="str" cm="1">
        <f t="array" ref="B101">IFERROR(INDEX(貼付シート!$B$1:$B$10000,SMALL(貼付シート!$A$1:$A$10000,C101)+1),"")</f>
        <v/>
      </c>
      <c r="C101" s="1">
        <v>100</v>
      </c>
      <c r="D101" s="1" t="str">
        <f t="shared" si="9"/>
        <v/>
      </c>
      <c r="E101" s="1" t="str">
        <f t="shared" si="10"/>
        <v/>
      </c>
      <c r="F101" s="1" t="str">
        <f t="shared" si="11"/>
        <v/>
      </c>
      <c r="G101" s="1" t="str">
        <f t="shared" si="12"/>
        <v/>
      </c>
      <c r="H101" s="1" t="str">
        <f t="shared" si="13"/>
        <v/>
      </c>
      <c r="I101" s="1" t="str">
        <f t="shared" si="14"/>
        <v/>
      </c>
      <c r="J101" s="1" t="str">
        <f t="shared" si="15"/>
        <v/>
      </c>
      <c r="K101" s="1" t="str">
        <f t="shared" si="16"/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C41A-5848-48EE-A7AA-74BD4BD57FB3}">
  <dimension ref="A1:A316"/>
  <sheetViews>
    <sheetView workbookViewId="0">
      <selection activeCell="F136" sqref="F136"/>
    </sheetView>
  </sheetViews>
  <sheetFormatPr defaultRowHeight="17.649999999999999" x14ac:dyDescent="0.7"/>
  <sheetData>
    <row r="1" spans="1:1" x14ac:dyDescent="0.7">
      <c r="A1" t="s">
        <v>240</v>
      </c>
    </row>
    <row r="4" spans="1:1" x14ac:dyDescent="0.7">
      <c r="A4" t="s">
        <v>241</v>
      </c>
    </row>
    <row r="6" spans="1:1" x14ac:dyDescent="0.7">
      <c r="A6" t="s">
        <v>242</v>
      </c>
    </row>
    <row r="7" spans="1:1" x14ac:dyDescent="0.7">
      <c r="A7" t="s">
        <v>243</v>
      </c>
    </row>
    <row r="8" spans="1:1" x14ac:dyDescent="0.7">
      <c r="A8" t="s">
        <v>244</v>
      </c>
    </row>
    <row r="10" spans="1:1" x14ac:dyDescent="0.7">
      <c r="A10" t="s">
        <v>245</v>
      </c>
    </row>
    <row r="11" spans="1:1" x14ac:dyDescent="0.7">
      <c r="A11" t="s">
        <v>246</v>
      </c>
    </row>
    <row r="12" spans="1:1" x14ac:dyDescent="0.7">
      <c r="A12" t="s">
        <v>247</v>
      </c>
    </row>
    <row r="13" spans="1:1" x14ac:dyDescent="0.7">
      <c r="A13" t="s">
        <v>248</v>
      </c>
    </row>
    <row r="14" spans="1:1" x14ac:dyDescent="0.7">
      <c r="A14" t="s">
        <v>249</v>
      </c>
    </row>
    <row r="17" spans="1:1" x14ac:dyDescent="0.7">
      <c r="A17" t="s">
        <v>6</v>
      </c>
    </row>
    <row r="19" spans="1:1" x14ac:dyDescent="0.7">
      <c r="A19" t="s">
        <v>7</v>
      </c>
    </row>
    <row r="20" spans="1:1" x14ac:dyDescent="0.7">
      <c r="A20" t="s">
        <v>173</v>
      </c>
    </row>
    <row r="21" spans="1:1" x14ac:dyDescent="0.7">
      <c r="A21" t="s">
        <v>174</v>
      </c>
    </row>
    <row r="22" spans="1:1" x14ac:dyDescent="0.7">
      <c r="A22" t="s">
        <v>175</v>
      </c>
    </row>
    <row r="23" spans="1:1" x14ac:dyDescent="0.7">
      <c r="A23" t="s">
        <v>176</v>
      </c>
    </row>
    <row r="24" spans="1:1" x14ac:dyDescent="0.7">
      <c r="A24" t="s">
        <v>177</v>
      </c>
    </row>
    <row r="25" spans="1:1" x14ac:dyDescent="0.7">
      <c r="A25" t="s">
        <v>178</v>
      </c>
    </row>
    <row r="26" spans="1:1" x14ac:dyDescent="0.7">
      <c r="A26" t="s">
        <v>179</v>
      </c>
    </row>
    <row r="27" spans="1:1" x14ac:dyDescent="0.7">
      <c r="A27" t="s">
        <v>268</v>
      </c>
    </row>
    <row r="28" spans="1:1" x14ac:dyDescent="0.7">
      <c r="A28" t="s">
        <v>180</v>
      </c>
    </row>
    <row r="30" spans="1:1" x14ac:dyDescent="0.7">
      <c r="A30" t="s">
        <v>181</v>
      </c>
    </row>
    <row r="31" spans="1:1" x14ac:dyDescent="0.7">
      <c r="A31" s="4" t="s">
        <v>269</v>
      </c>
    </row>
    <row r="32" spans="1:1" x14ac:dyDescent="0.7">
      <c r="A32" s="4" t="s">
        <v>270</v>
      </c>
    </row>
    <row r="35" spans="1:1" x14ac:dyDescent="0.7">
      <c r="A35" t="s">
        <v>8</v>
      </c>
    </row>
    <row r="37" spans="1:1" x14ac:dyDescent="0.7">
      <c r="A37" t="s">
        <v>9</v>
      </c>
    </row>
    <row r="38" spans="1:1" x14ac:dyDescent="0.7">
      <c r="A38" t="s">
        <v>10</v>
      </c>
    </row>
    <row r="39" spans="1:1" x14ac:dyDescent="0.7">
      <c r="A39" t="s">
        <v>11</v>
      </c>
    </row>
    <row r="40" spans="1:1" x14ac:dyDescent="0.7">
      <c r="A40" t="s">
        <v>12</v>
      </c>
    </row>
    <row r="41" spans="1:1" x14ac:dyDescent="0.7">
      <c r="A41" t="s">
        <v>13</v>
      </c>
    </row>
    <row r="42" spans="1:1" x14ac:dyDescent="0.7">
      <c r="A42" t="s">
        <v>14</v>
      </c>
    </row>
    <row r="44" spans="1:1" x14ac:dyDescent="0.7">
      <c r="A44" t="s">
        <v>15</v>
      </c>
    </row>
    <row r="45" spans="1:1" x14ac:dyDescent="0.7">
      <c r="A45" t="s">
        <v>16</v>
      </c>
    </row>
    <row r="46" spans="1:1" x14ac:dyDescent="0.7">
      <c r="A46" t="s">
        <v>17</v>
      </c>
    </row>
    <row r="47" spans="1:1" x14ac:dyDescent="0.7">
      <c r="A47" t="s">
        <v>18</v>
      </c>
    </row>
    <row r="48" spans="1:1" x14ac:dyDescent="0.7">
      <c r="A48" t="s">
        <v>19</v>
      </c>
    </row>
    <row r="49" spans="1:1" x14ac:dyDescent="0.7">
      <c r="A49" t="s">
        <v>20</v>
      </c>
    </row>
    <row r="50" spans="1:1" x14ac:dyDescent="0.7">
      <c r="A50" t="s">
        <v>21</v>
      </c>
    </row>
    <row r="51" spans="1:1" x14ac:dyDescent="0.7">
      <c r="A51" t="s">
        <v>22</v>
      </c>
    </row>
    <row r="52" spans="1:1" x14ac:dyDescent="0.7">
      <c r="A52" t="s">
        <v>23</v>
      </c>
    </row>
    <row r="53" spans="1:1" x14ac:dyDescent="0.7">
      <c r="A53" t="s">
        <v>271</v>
      </c>
    </row>
    <row r="54" spans="1:1" x14ac:dyDescent="0.7">
      <c r="A54" t="s">
        <v>272</v>
      </c>
    </row>
    <row r="55" spans="1:1" x14ac:dyDescent="0.7">
      <c r="A55" t="s">
        <v>273</v>
      </c>
    </row>
    <row r="57" spans="1:1" x14ac:dyDescent="0.7">
      <c r="A57" t="s">
        <v>24</v>
      </c>
    </row>
    <row r="58" spans="1:1" x14ac:dyDescent="0.7">
      <c r="A58" t="s">
        <v>25</v>
      </c>
    </row>
    <row r="59" spans="1:1" x14ac:dyDescent="0.7">
      <c r="A59" t="s">
        <v>26</v>
      </c>
    </row>
    <row r="60" spans="1:1" x14ac:dyDescent="0.7">
      <c r="A60" t="s">
        <v>182</v>
      </c>
    </row>
    <row r="61" spans="1:1" x14ac:dyDescent="0.7">
      <c r="A61" t="s">
        <v>183</v>
      </c>
    </row>
    <row r="62" spans="1:1" x14ac:dyDescent="0.7">
      <c r="A62" t="s">
        <v>184</v>
      </c>
    </row>
    <row r="65" spans="1:1" x14ac:dyDescent="0.7">
      <c r="A65" t="s">
        <v>250</v>
      </c>
    </row>
    <row r="67" spans="1:1" x14ac:dyDescent="0.7">
      <c r="A67" t="s">
        <v>185</v>
      </c>
    </row>
    <row r="69" spans="1:1" x14ac:dyDescent="0.7">
      <c r="A69" t="s">
        <v>186</v>
      </c>
    </row>
    <row r="70" spans="1:1" x14ac:dyDescent="0.7">
      <c r="A70" t="s">
        <v>187</v>
      </c>
    </row>
    <row r="72" spans="1:1" x14ac:dyDescent="0.7">
      <c r="A72" t="s">
        <v>274</v>
      </c>
    </row>
    <row r="73" spans="1:1" x14ac:dyDescent="0.7">
      <c r="A73" t="s">
        <v>275</v>
      </c>
    </row>
    <row r="75" spans="1:1" x14ac:dyDescent="0.7">
      <c r="A75" s="4" t="s">
        <v>188</v>
      </c>
    </row>
    <row r="77" spans="1:1" x14ac:dyDescent="0.7">
      <c r="A77" t="s">
        <v>189</v>
      </c>
    </row>
    <row r="78" spans="1:1" x14ac:dyDescent="0.7">
      <c r="A78" t="s">
        <v>190</v>
      </c>
    </row>
    <row r="79" spans="1:1" x14ac:dyDescent="0.7">
      <c r="A79" t="s">
        <v>191</v>
      </c>
    </row>
    <row r="80" spans="1:1" x14ac:dyDescent="0.7">
      <c r="A80" t="s">
        <v>192</v>
      </c>
    </row>
    <row r="82" spans="1:1" x14ac:dyDescent="0.7">
      <c r="A82" t="s">
        <v>193</v>
      </c>
    </row>
    <row r="83" spans="1:1" x14ac:dyDescent="0.7">
      <c r="A83" t="s">
        <v>194</v>
      </c>
    </row>
    <row r="84" spans="1:1" x14ac:dyDescent="0.7">
      <c r="A84" t="s">
        <v>195</v>
      </c>
    </row>
    <row r="85" spans="1:1" x14ac:dyDescent="0.7">
      <c r="A85" t="s">
        <v>196</v>
      </c>
    </row>
    <row r="88" spans="1:1" x14ac:dyDescent="0.7">
      <c r="A88" t="s">
        <v>197</v>
      </c>
    </row>
    <row r="90" spans="1:1" x14ac:dyDescent="0.7">
      <c r="A90" t="s">
        <v>198</v>
      </c>
    </row>
    <row r="91" spans="1:1" x14ac:dyDescent="0.7">
      <c r="A91" t="s">
        <v>199</v>
      </c>
    </row>
    <row r="92" spans="1:1" x14ac:dyDescent="0.7">
      <c r="A92" t="s">
        <v>200</v>
      </c>
    </row>
    <row r="93" spans="1:1" x14ac:dyDescent="0.7">
      <c r="A93" t="s">
        <v>201</v>
      </c>
    </row>
    <row r="96" spans="1:1" x14ac:dyDescent="0.7">
      <c r="A96" t="s">
        <v>276</v>
      </c>
    </row>
    <row r="98" spans="1:1" x14ac:dyDescent="0.7">
      <c r="A98" t="s">
        <v>202</v>
      </c>
    </row>
    <row r="99" spans="1:1" x14ac:dyDescent="0.7">
      <c r="A99" t="s">
        <v>203</v>
      </c>
    </row>
    <row r="100" spans="1:1" x14ac:dyDescent="0.7">
      <c r="A100" t="s">
        <v>277</v>
      </c>
    </row>
    <row r="101" spans="1:1" x14ac:dyDescent="0.7">
      <c r="A101" t="s">
        <v>278</v>
      </c>
    </row>
    <row r="102" spans="1:1" x14ac:dyDescent="0.7">
      <c r="A102" t="s">
        <v>279</v>
      </c>
    </row>
    <row r="103" spans="1:1" x14ac:dyDescent="0.7">
      <c r="A103" t="s">
        <v>280</v>
      </c>
    </row>
    <row r="104" spans="1:1" x14ac:dyDescent="0.7">
      <c r="A104" t="s">
        <v>281</v>
      </c>
    </row>
    <row r="105" spans="1:1" x14ac:dyDescent="0.7">
      <c r="A105" t="s">
        <v>282</v>
      </c>
    </row>
    <row r="106" spans="1:1" x14ac:dyDescent="0.7">
      <c r="A106" t="s">
        <v>283</v>
      </c>
    </row>
    <row r="107" spans="1:1" x14ac:dyDescent="0.7">
      <c r="A107" t="s">
        <v>284</v>
      </c>
    </row>
    <row r="108" spans="1:1" x14ac:dyDescent="0.7">
      <c r="A108" t="s">
        <v>285</v>
      </c>
    </row>
    <row r="110" spans="1:1" x14ac:dyDescent="0.7">
      <c r="A110" t="s">
        <v>204</v>
      </c>
    </row>
    <row r="111" spans="1:1" x14ac:dyDescent="0.7">
      <c r="A111" t="s">
        <v>205</v>
      </c>
    </row>
    <row r="112" spans="1:1" x14ac:dyDescent="0.7">
      <c r="A112" t="s">
        <v>286</v>
      </c>
    </row>
    <row r="115" spans="1:1" x14ac:dyDescent="0.7">
      <c r="A115" t="s">
        <v>27</v>
      </c>
    </row>
    <row r="117" spans="1:1" x14ac:dyDescent="0.7">
      <c r="A117" t="s">
        <v>28</v>
      </c>
    </row>
    <row r="118" spans="1:1" x14ac:dyDescent="0.7">
      <c r="A118" t="s">
        <v>29</v>
      </c>
    </row>
    <row r="119" spans="1:1" x14ac:dyDescent="0.7">
      <c r="A119" t="s">
        <v>28</v>
      </c>
    </row>
    <row r="120" spans="1:1" x14ac:dyDescent="0.7">
      <c r="A120" t="s">
        <v>30</v>
      </c>
    </row>
    <row r="121" spans="1:1" x14ac:dyDescent="0.7">
      <c r="A121" t="s">
        <v>206</v>
      </c>
    </row>
    <row r="122" spans="1:1" x14ac:dyDescent="0.7">
      <c r="A122" t="s">
        <v>207</v>
      </c>
    </row>
    <row r="123" spans="1:1" x14ac:dyDescent="0.7">
      <c r="A123" t="s">
        <v>208</v>
      </c>
    </row>
    <row r="124" spans="1:1" x14ac:dyDescent="0.7">
      <c r="A124" t="s">
        <v>287</v>
      </c>
    </row>
    <row r="127" spans="1:1" x14ac:dyDescent="0.7">
      <c r="A127" t="s">
        <v>28</v>
      </c>
    </row>
    <row r="128" spans="1:1" x14ac:dyDescent="0.7">
      <c r="A128" t="s">
        <v>31</v>
      </c>
    </row>
    <row r="129" spans="1:1" x14ac:dyDescent="0.7">
      <c r="A129" t="s">
        <v>28</v>
      </c>
    </row>
    <row r="130" spans="1:1" x14ac:dyDescent="0.7">
      <c r="A130" t="s">
        <v>32</v>
      </c>
    </row>
    <row r="132" spans="1:1" x14ac:dyDescent="0.7">
      <c r="A132" t="s">
        <v>288</v>
      </c>
    </row>
    <row r="133" spans="1:1" x14ac:dyDescent="0.7">
      <c r="A133" t="s">
        <v>289</v>
      </c>
    </row>
    <row r="134" spans="1:1" x14ac:dyDescent="0.7">
      <c r="A134" t="s">
        <v>290</v>
      </c>
    </row>
    <row r="135" spans="1:1" x14ac:dyDescent="0.7">
      <c r="A135" t="s">
        <v>291</v>
      </c>
    </row>
    <row r="136" spans="1:1" x14ac:dyDescent="0.7">
      <c r="A136" t="s">
        <v>292</v>
      </c>
    </row>
    <row r="137" spans="1:1" x14ac:dyDescent="0.7">
      <c r="A137" t="s">
        <v>293</v>
      </c>
    </row>
    <row r="138" spans="1:1" x14ac:dyDescent="0.7">
      <c r="A138" t="s">
        <v>294</v>
      </c>
    </row>
    <row r="139" spans="1:1" x14ac:dyDescent="0.7">
      <c r="A139" t="s">
        <v>295</v>
      </c>
    </row>
    <row r="140" spans="1:1" x14ac:dyDescent="0.7">
      <c r="A140" t="s">
        <v>296</v>
      </c>
    </row>
    <row r="142" spans="1:1" x14ac:dyDescent="0.7">
      <c r="A142" t="s">
        <v>297</v>
      </c>
    </row>
    <row r="143" spans="1:1" x14ac:dyDescent="0.7">
      <c r="A143" t="s">
        <v>298</v>
      </c>
    </row>
    <row r="144" spans="1:1" x14ac:dyDescent="0.7">
      <c r="A144" t="s">
        <v>299</v>
      </c>
    </row>
    <row r="145" spans="1:1" x14ac:dyDescent="0.7">
      <c r="A145" t="s">
        <v>300</v>
      </c>
    </row>
    <row r="146" spans="1:1" x14ac:dyDescent="0.7">
      <c r="A146" t="s">
        <v>301</v>
      </c>
    </row>
    <row r="148" spans="1:1" x14ac:dyDescent="0.7">
      <c r="A148" t="s">
        <v>33</v>
      </c>
    </row>
    <row r="151" spans="1:1" x14ac:dyDescent="0.7">
      <c r="A151" t="s">
        <v>28</v>
      </c>
    </row>
    <row r="152" spans="1:1" x14ac:dyDescent="0.7">
      <c r="A152" t="s">
        <v>34</v>
      </c>
    </row>
    <row r="153" spans="1:1" x14ac:dyDescent="0.7">
      <c r="A153" t="s">
        <v>28</v>
      </c>
    </row>
    <row r="154" spans="1:1" x14ac:dyDescent="0.7">
      <c r="A154" t="s">
        <v>209</v>
      </c>
    </row>
    <row r="156" spans="1:1" x14ac:dyDescent="0.7">
      <c r="A156" t="s">
        <v>210</v>
      </c>
    </row>
    <row r="157" spans="1:1" x14ac:dyDescent="0.7">
      <c r="A157" t="s">
        <v>211</v>
      </c>
    </row>
    <row r="158" spans="1:1" x14ac:dyDescent="0.7">
      <c r="A158" t="s">
        <v>212</v>
      </c>
    </row>
    <row r="159" spans="1:1" x14ac:dyDescent="0.7">
      <c r="A159" t="s">
        <v>213</v>
      </c>
    </row>
    <row r="161" spans="1:1" x14ac:dyDescent="0.7">
      <c r="A161" t="s">
        <v>214</v>
      </c>
    </row>
    <row r="162" spans="1:1" x14ac:dyDescent="0.7">
      <c r="A162">
        <f>IF(C2&lt;&gt;"",C2,B1)</f>
        <v>0</v>
      </c>
    </row>
    <row r="163" spans="1:1" x14ac:dyDescent="0.7">
      <c r="A163" t="s">
        <v>215</v>
      </c>
    </row>
    <row r="164" spans="1:1" x14ac:dyDescent="0.7">
      <c r="A164" t="s">
        <v>216</v>
      </c>
    </row>
    <row r="166" spans="1:1" x14ac:dyDescent="0.7">
      <c r="A166" t="s">
        <v>217</v>
      </c>
    </row>
    <row r="167" spans="1:1" x14ac:dyDescent="0.7">
      <c r="A167" t="s">
        <v>35</v>
      </c>
    </row>
    <row r="168" spans="1:1" x14ac:dyDescent="0.7">
      <c r="A168" t="s">
        <v>302</v>
      </c>
    </row>
    <row r="169" spans="1:1" x14ac:dyDescent="0.7">
      <c r="A169" t="s">
        <v>303</v>
      </c>
    </row>
    <row r="170" spans="1:1" x14ac:dyDescent="0.7">
      <c r="A170" t="s">
        <v>304</v>
      </c>
    </row>
    <row r="171" spans="1:1" x14ac:dyDescent="0.7">
      <c r="A171" t="s">
        <v>305</v>
      </c>
    </row>
    <row r="172" spans="1:1" x14ac:dyDescent="0.7">
      <c r="A172" t="s">
        <v>306</v>
      </c>
    </row>
    <row r="173" spans="1:1" x14ac:dyDescent="0.7">
      <c r="A173" t="s">
        <v>307</v>
      </c>
    </row>
    <row r="174" spans="1:1" x14ac:dyDescent="0.7">
      <c r="A174" t="s">
        <v>308</v>
      </c>
    </row>
    <row r="175" spans="1:1" x14ac:dyDescent="0.7">
      <c r="A175" t="s">
        <v>309</v>
      </c>
    </row>
    <row r="176" spans="1:1" x14ac:dyDescent="0.7">
      <c r="A176" t="s">
        <v>310</v>
      </c>
    </row>
    <row r="178" spans="1:1" x14ac:dyDescent="0.7">
      <c r="A178" t="s">
        <v>218</v>
      </c>
    </row>
    <row r="181" spans="1:1" x14ac:dyDescent="0.7">
      <c r="A181" t="s">
        <v>28</v>
      </c>
    </row>
    <row r="182" spans="1:1" x14ac:dyDescent="0.7">
      <c r="A182" t="s">
        <v>36</v>
      </c>
    </row>
    <row r="183" spans="1:1" x14ac:dyDescent="0.7">
      <c r="A183" t="s">
        <v>28</v>
      </c>
    </row>
    <row r="184" spans="1:1" x14ac:dyDescent="0.7">
      <c r="A184" t="s">
        <v>37</v>
      </c>
    </row>
    <row r="185" spans="1:1" x14ac:dyDescent="0.7">
      <c r="A185" t="s">
        <v>38</v>
      </c>
    </row>
    <row r="187" spans="1:1" x14ac:dyDescent="0.7">
      <c r="A187" t="s">
        <v>311</v>
      </c>
    </row>
    <row r="188" spans="1:1" x14ac:dyDescent="0.7">
      <c r="A188" t="s">
        <v>312</v>
      </c>
    </row>
    <row r="189" spans="1:1" x14ac:dyDescent="0.7">
      <c r="A189" t="s">
        <v>313</v>
      </c>
    </row>
    <row r="190" spans="1:1" x14ac:dyDescent="0.7">
      <c r="A190" t="s">
        <v>314</v>
      </c>
    </row>
    <row r="191" spans="1:1" x14ac:dyDescent="0.7">
      <c r="A191" t="s">
        <v>315</v>
      </c>
    </row>
    <row r="192" spans="1:1" x14ac:dyDescent="0.7">
      <c r="A192" t="s">
        <v>316</v>
      </c>
    </row>
    <row r="193" spans="1:1" x14ac:dyDescent="0.7">
      <c r="A193" t="s">
        <v>317</v>
      </c>
    </row>
    <row r="195" spans="1:1" x14ac:dyDescent="0.7">
      <c r="A195" t="s">
        <v>318</v>
      </c>
    </row>
    <row r="196" spans="1:1" x14ac:dyDescent="0.7">
      <c r="A196" t="s">
        <v>319</v>
      </c>
    </row>
    <row r="197" spans="1:1" x14ac:dyDescent="0.7">
      <c r="A197" t="s">
        <v>320</v>
      </c>
    </row>
    <row r="199" spans="1:1" x14ac:dyDescent="0.7">
      <c r="A199" t="s">
        <v>39</v>
      </c>
    </row>
    <row r="200" spans="1:1" x14ac:dyDescent="0.7">
      <c r="A200" t="s">
        <v>219</v>
      </c>
    </row>
    <row r="201" spans="1:1" x14ac:dyDescent="0.7">
      <c r="A201" t="s">
        <v>40</v>
      </c>
    </row>
    <row r="204" spans="1:1" x14ac:dyDescent="0.7">
      <c r="A204" t="s">
        <v>28</v>
      </c>
    </row>
    <row r="205" spans="1:1" x14ac:dyDescent="0.7">
      <c r="A205" t="s">
        <v>41</v>
      </c>
    </row>
    <row r="206" spans="1:1" x14ac:dyDescent="0.7">
      <c r="A206" t="s">
        <v>28</v>
      </c>
    </row>
    <row r="207" spans="1:1" x14ac:dyDescent="0.7">
      <c r="A207" t="s">
        <v>220</v>
      </c>
    </row>
    <row r="208" spans="1:1" x14ac:dyDescent="0.7">
      <c r="A208" t="s">
        <v>321</v>
      </c>
    </row>
    <row r="209" spans="1:1" x14ac:dyDescent="0.7">
      <c r="A209" t="s">
        <v>322</v>
      </c>
    </row>
    <row r="211" spans="1:1" x14ac:dyDescent="0.7">
      <c r="A211" t="s">
        <v>221</v>
      </c>
    </row>
    <row r="212" spans="1:1" x14ac:dyDescent="0.7">
      <c r="A212" t="s">
        <v>323</v>
      </c>
    </row>
    <row r="213" spans="1:1" x14ac:dyDescent="0.7">
      <c r="A213" t="s">
        <v>324</v>
      </c>
    </row>
    <row r="215" spans="1:1" x14ac:dyDescent="0.7">
      <c r="A215" t="s">
        <v>42</v>
      </c>
    </row>
    <row r="216" spans="1:1" x14ac:dyDescent="0.7">
      <c r="A216" t="s">
        <v>325</v>
      </c>
    </row>
    <row r="217" spans="1:1" x14ac:dyDescent="0.7">
      <c r="A217" t="s">
        <v>326</v>
      </c>
    </row>
    <row r="220" spans="1:1" x14ac:dyDescent="0.7">
      <c r="A220" t="s">
        <v>28</v>
      </c>
    </row>
    <row r="221" spans="1:1" x14ac:dyDescent="0.7">
      <c r="A221" t="s">
        <v>43</v>
      </c>
    </row>
    <row r="222" spans="1:1" x14ac:dyDescent="0.7">
      <c r="A222" t="s">
        <v>28</v>
      </c>
    </row>
    <row r="223" spans="1:1" x14ac:dyDescent="0.7">
      <c r="A223" t="s">
        <v>222</v>
      </c>
    </row>
    <row r="224" spans="1:1" x14ac:dyDescent="0.7">
      <c r="A224" t="s">
        <v>223</v>
      </c>
    </row>
    <row r="225" spans="1:1" x14ac:dyDescent="0.7">
      <c r="A225" t="s">
        <v>224</v>
      </c>
    </row>
    <row r="226" spans="1:1" x14ac:dyDescent="0.7">
      <c r="A226" t="s">
        <v>327</v>
      </c>
    </row>
    <row r="227" spans="1:1" x14ac:dyDescent="0.7">
      <c r="A227" t="s">
        <v>225</v>
      </c>
    </row>
    <row r="228" spans="1:1" x14ac:dyDescent="0.7">
      <c r="A228" t="s">
        <v>226</v>
      </c>
    </row>
    <row r="229" spans="1:1" x14ac:dyDescent="0.7">
      <c r="A229" t="s">
        <v>227</v>
      </c>
    </row>
    <row r="230" spans="1:1" x14ac:dyDescent="0.7">
      <c r="A230" t="s">
        <v>228</v>
      </c>
    </row>
    <row r="231" spans="1:1" x14ac:dyDescent="0.7">
      <c r="A231" t="s">
        <v>328</v>
      </c>
    </row>
    <row r="232" spans="1:1" x14ac:dyDescent="0.7">
      <c r="A232" t="s">
        <v>329</v>
      </c>
    </row>
    <row r="234" spans="1:1" x14ac:dyDescent="0.7">
      <c r="A234" t="s">
        <v>44</v>
      </c>
    </row>
    <row r="235" spans="1:1" x14ac:dyDescent="0.7">
      <c r="A235" t="s">
        <v>330</v>
      </c>
    </row>
    <row r="236" spans="1:1" x14ac:dyDescent="0.7">
      <c r="A236" t="s">
        <v>331</v>
      </c>
    </row>
    <row r="237" spans="1:1" x14ac:dyDescent="0.7">
      <c r="A237" t="s">
        <v>332</v>
      </c>
    </row>
    <row r="238" spans="1:1" x14ac:dyDescent="0.7">
      <c r="A238" t="s">
        <v>333</v>
      </c>
    </row>
    <row r="239" spans="1:1" x14ac:dyDescent="0.7">
      <c r="A239" t="s">
        <v>334</v>
      </c>
    </row>
    <row r="240" spans="1:1" x14ac:dyDescent="0.7">
      <c r="A240" t="s">
        <v>335</v>
      </c>
    </row>
    <row r="241" spans="1:1" x14ac:dyDescent="0.7">
      <c r="A241" t="s">
        <v>336</v>
      </c>
    </row>
    <row r="242" spans="1:1" x14ac:dyDescent="0.7">
      <c r="A242" t="s">
        <v>337</v>
      </c>
    </row>
    <row r="243" spans="1:1" x14ac:dyDescent="0.7">
      <c r="A243" t="s">
        <v>338</v>
      </c>
    </row>
    <row r="244" spans="1:1" x14ac:dyDescent="0.7">
      <c r="A244" t="s">
        <v>339</v>
      </c>
    </row>
    <row r="245" spans="1:1" x14ac:dyDescent="0.7">
      <c r="A245" t="s">
        <v>340</v>
      </c>
    </row>
    <row r="248" spans="1:1" x14ac:dyDescent="0.7">
      <c r="A248" t="s">
        <v>251</v>
      </c>
    </row>
    <row r="250" spans="1:1" x14ac:dyDescent="0.7">
      <c r="A250" t="s">
        <v>229</v>
      </c>
    </row>
    <row r="251" spans="1:1" x14ac:dyDescent="0.7">
      <c r="A251" t="s">
        <v>230</v>
      </c>
    </row>
    <row r="252" spans="1:1" x14ac:dyDescent="0.7">
      <c r="A252" t="s">
        <v>231</v>
      </c>
    </row>
    <row r="253" spans="1:1" x14ac:dyDescent="0.7">
      <c r="A253" t="s">
        <v>232</v>
      </c>
    </row>
    <row r="254" spans="1:1" x14ac:dyDescent="0.7">
      <c r="A254" t="s">
        <v>45</v>
      </c>
    </row>
    <row r="256" spans="1:1" x14ac:dyDescent="0.7">
      <c r="A256" t="s">
        <v>233</v>
      </c>
    </row>
    <row r="257" spans="1:1" x14ac:dyDescent="0.7">
      <c r="A257" t="s">
        <v>234</v>
      </c>
    </row>
    <row r="260" spans="1:1" x14ac:dyDescent="0.7">
      <c r="A260" t="s">
        <v>46</v>
      </c>
    </row>
    <row r="262" spans="1:1" x14ac:dyDescent="0.7">
      <c r="A262" t="s">
        <v>47</v>
      </c>
    </row>
    <row r="263" spans="1:1" x14ac:dyDescent="0.7">
      <c r="A263" t="s">
        <v>48</v>
      </c>
    </row>
    <row r="264" spans="1:1" x14ac:dyDescent="0.7">
      <c r="A264" t="s">
        <v>49</v>
      </c>
    </row>
    <row r="265" spans="1:1" x14ac:dyDescent="0.7">
      <c r="A265" t="s">
        <v>50</v>
      </c>
    </row>
    <row r="266" spans="1:1" x14ac:dyDescent="0.7">
      <c r="A266" t="s">
        <v>51</v>
      </c>
    </row>
    <row r="268" spans="1:1" x14ac:dyDescent="0.7">
      <c r="A268" t="s">
        <v>52</v>
      </c>
    </row>
    <row r="270" spans="1:1" x14ac:dyDescent="0.7">
      <c r="A270" t="s">
        <v>53</v>
      </c>
    </row>
    <row r="271" spans="1:1" x14ac:dyDescent="0.7">
      <c r="A271" t="s">
        <v>54</v>
      </c>
    </row>
    <row r="274" spans="1:1" x14ac:dyDescent="0.7">
      <c r="A274" t="s">
        <v>55</v>
      </c>
    </row>
    <row r="276" spans="1:1" x14ac:dyDescent="0.7">
      <c r="A276" t="s">
        <v>56</v>
      </c>
    </row>
    <row r="277" spans="1:1" x14ac:dyDescent="0.7">
      <c r="A277" t="s">
        <v>57</v>
      </c>
    </row>
    <row r="278" spans="1:1" x14ac:dyDescent="0.7">
      <c r="A278" t="s">
        <v>58</v>
      </c>
    </row>
    <row r="280" spans="1:1" x14ac:dyDescent="0.7">
      <c r="A280" t="s">
        <v>59</v>
      </c>
    </row>
    <row r="283" spans="1:1" x14ac:dyDescent="0.7">
      <c r="A283" t="s">
        <v>252</v>
      </c>
    </row>
    <row r="285" spans="1:1" x14ac:dyDescent="0.7">
      <c r="A285" t="s">
        <v>253</v>
      </c>
    </row>
    <row r="286" spans="1:1" x14ac:dyDescent="0.7">
      <c r="A286" t="s">
        <v>235</v>
      </c>
    </row>
    <row r="287" spans="1:1" x14ac:dyDescent="0.7">
      <c r="A287" t="s">
        <v>254</v>
      </c>
    </row>
    <row r="289" spans="1:1" x14ac:dyDescent="0.7">
      <c r="A289" t="s">
        <v>255</v>
      </c>
    </row>
    <row r="290" spans="1:1" x14ac:dyDescent="0.7">
      <c r="A290" t="s">
        <v>256</v>
      </c>
    </row>
    <row r="291" spans="1:1" x14ac:dyDescent="0.7">
      <c r="A291" t="s">
        <v>257</v>
      </c>
    </row>
    <row r="293" spans="1:1" x14ac:dyDescent="0.7">
      <c r="A293" t="s">
        <v>258</v>
      </c>
    </row>
    <row r="294" spans="1:1" x14ac:dyDescent="0.7">
      <c r="A294" t="s">
        <v>259</v>
      </c>
    </row>
    <row r="295" spans="1:1" x14ac:dyDescent="0.7">
      <c r="A295" t="s">
        <v>260</v>
      </c>
    </row>
    <row r="296" spans="1:1" x14ac:dyDescent="0.7">
      <c r="A296" t="s">
        <v>261</v>
      </c>
    </row>
    <row r="297" spans="1:1" x14ac:dyDescent="0.7">
      <c r="A297" t="s">
        <v>262</v>
      </c>
    </row>
    <row r="298" spans="1:1" x14ac:dyDescent="0.7">
      <c r="A298" t="s">
        <v>263</v>
      </c>
    </row>
    <row r="299" spans="1:1" x14ac:dyDescent="0.7">
      <c r="A299" t="s">
        <v>264</v>
      </c>
    </row>
    <row r="300" spans="1:1" x14ac:dyDescent="0.7">
      <c r="A300" t="s">
        <v>265</v>
      </c>
    </row>
    <row r="303" spans="1:1" x14ac:dyDescent="0.7">
      <c r="A303" t="s">
        <v>60</v>
      </c>
    </row>
    <row r="305" spans="1:1" x14ac:dyDescent="0.7">
      <c r="A305" t="s">
        <v>61</v>
      </c>
    </row>
    <row r="306" spans="1:1" x14ac:dyDescent="0.7">
      <c r="A306" t="s">
        <v>236</v>
      </c>
    </row>
    <row r="308" spans="1:1" x14ac:dyDescent="0.7">
      <c r="A308" t="s">
        <v>62</v>
      </c>
    </row>
    <row r="309" spans="1:1" x14ac:dyDescent="0.7">
      <c r="A309" t="s">
        <v>63</v>
      </c>
    </row>
    <row r="310" spans="1:1" x14ac:dyDescent="0.7">
      <c r="A310" t="s">
        <v>237</v>
      </c>
    </row>
    <row r="311" spans="1:1" x14ac:dyDescent="0.7">
      <c r="A311" t="s">
        <v>238</v>
      </c>
    </row>
    <row r="312" spans="1:1" x14ac:dyDescent="0.7">
      <c r="A312" t="s">
        <v>239</v>
      </c>
    </row>
    <row r="313" spans="1:1" x14ac:dyDescent="0.7">
      <c r="A313" t="s">
        <v>64</v>
      </c>
    </row>
    <row r="315" spans="1:1" x14ac:dyDescent="0.7">
      <c r="A315" t="s">
        <v>65</v>
      </c>
    </row>
    <row r="316" spans="1:1" x14ac:dyDescent="0.7">
      <c r="A316" t="s">
        <v>66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貼付シート</vt:lpstr>
      <vt:lpstr>抽出シート</vt:lpstr>
      <vt:lpstr>手順書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2026-04-15T02:25:47Z</dcterms:created>
  <dcterms:modified xsi:type="dcterms:W3CDTF">2026-04-15T02:34:59Z</dcterms:modified>
</cp:coreProperties>
</file>