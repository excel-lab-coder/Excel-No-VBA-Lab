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B3B75612-4A15-4162-B4BA-2C25907EB7A4}" xr6:coauthVersionLast="47" xr6:coauthVersionMax="47" xr10:uidLastSave="{00000000-0000-0000-0000-000000000000}"/>
  <bookViews>
    <workbookView xWindow="-98" yWindow="-98" windowWidth="21795" windowHeight="12975" xr2:uid="{EF7BF5A8-BA5F-479F-86D0-BE72BC5ECA5B}"/>
  </bookViews>
  <sheets>
    <sheet name="貼付シート" sheetId="1" r:id="rId1"/>
    <sheet name="抽出シート" sheetId="2" r:id="rId2"/>
    <sheet name="手順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A12" i="2" a="1"/>
  <c r="A12" i="2"/>
  <c r="A13" i="2" a="1"/>
  <c r="A13" i="2"/>
  <c r="A14" i="2" a="1"/>
  <c r="A14" i="2"/>
  <c r="A15" i="2" a="1"/>
  <c r="A15" i="2"/>
  <c r="A16" i="2" a="1"/>
  <c r="A16" i="2"/>
  <c r="A17" i="2" a="1"/>
  <c r="A17" i="2"/>
  <c r="A18" i="2" a="1"/>
  <c r="A18" i="2"/>
  <c r="A19" i="2" a="1"/>
  <c r="A19" i="2"/>
  <c r="A20" i="2" a="1"/>
  <c r="A20" i="2"/>
  <c r="A21" i="2" a="1"/>
  <c r="A21" i="2" s="1"/>
  <c r="A22" i="2" a="1"/>
  <c r="A22" i="2"/>
  <c r="A23" i="2" a="1"/>
  <c r="A23" i="2"/>
  <c r="A24" i="2" a="1"/>
  <c r="A24" i="2"/>
  <c r="A25" i="2" a="1"/>
  <c r="A25" i="2"/>
  <c r="A26" i="2" a="1"/>
  <c r="A26" i="2"/>
  <c r="A27" i="2" a="1"/>
  <c r="A27" i="2"/>
  <c r="A28" i="2" a="1"/>
  <c r="A28" i="2"/>
  <c r="A29" i="2" a="1"/>
  <c r="A29" i="2"/>
  <c r="A30" i="2" a="1"/>
  <c r="A30" i="2"/>
  <c r="A31" i="2" a="1"/>
  <c r="A31" i="2"/>
  <c r="A32" i="2" a="1"/>
  <c r="A32" i="2"/>
  <c r="A33" i="2" a="1"/>
  <c r="A33" i="2"/>
  <c r="A34" i="2" a="1"/>
  <c r="A34" i="2"/>
  <c r="A35" i="2" a="1"/>
  <c r="A35" i="2"/>
  <c r="A36" i="2" a="1"/>
  <c r="A36" i="2"/>
  <c r="A37" i="2" a="1"/>
  <c r="A37" i="2"/>
  <c r="A38" i="2" a="1"/>
  <c r="A38" i="2"/>
  <c r="A39" i="2" a="1"/>
  <c r="A39" i="2"/>
  <c r="A40" i="2" a="1"/>
  <c r="A40" i="2"/>
  <c r="A41" i="2" a="1"/>
  <c r="A41" i="2"/>
  <c r="A42" i="2" a="1"/>
  <c r="A42" i="2"/>
  <c r="A43" i="2" a="1"/>
  <c r="A43" i="2"/>
  <c r="A44" i="2" a="1"/>
  <c r="A44" i="2"/>
  <c r="A45" i="2" a="1"/>
  <c r="A45" i="2"/>
  <c r="A46" i="2" a="1"/>
  <c r="A46" i="2"/>
  <c r="A47" i="2" a="1"/>
  <c r="A47" i="2"/>
  <c r="A48" i="2" a="1"/>
  <c r="A48" i="2"/>
  <c r="A49" i="2" a="1"/>
  <c r="A49" i="2"/>
  <c r="A50" i="2" a="1"/>
  <c r="A50" i="2"/>
  <c r="A51" i="2" a="1"/>
  <c r="A51" i="2"/>
  <c r="A52" i="2" a="1"/>
  <c r="A52" i="2"/>
  <c r="A53" i="2" a="1"/>
  <c r="A53" i="2"/>
  <c r="A54" i="2" a="1"/>
  <c r="A54" i="2"/>
  <c r="A55" i="2" a="1"/>
  <c r="A55" i="2"/>
  <c r="A56" i="2" a="1"/>
  <c r="A56" i="2"/>
  <c r="A57" i="2" a="1"/>
  <c r="A57" i="2"/>
  <c r="A58" i="2" a="1"/>
  <c r="A58" i="2"/>
  <c r="A59" i="2" a="1"/>
  <c r="A59" i="2"/>
  <c r="A60" i="2" a="1"/>
  <c r="A60" i="2"/>
  <c r="A61" i="2" a="1"/>
  <c r="A61" i="2"/>
  <c r="A62" i="2" a="1"/>
  <c r="A62" i="2"/>
  <c r="A63" i="2" a="1"/>
  <c r="A63" i="2"/>
  <c r="A64" i="2" a="1"/>
  <c r="A64" i="2"/>
  <c r="A65" i="2" a="1"/>
  <c r="A65" i="2"/>
  <c r="A66" i="2" a="1"/>
  <c r="A66" i="2"/>
  <c r="A67" i="2" a="1"/>
  <c r="A67" i="2"/>
  <c r="A68" i="2" a="1"/>
  <c r="A68" i="2"/>
  <c r="A69" i="2" a="1"/>
  <c r="A69" i="2"/>
  <c r="A70" i="2" a="1"/>
  <c r="A70" i="2"/>
  <c r="A71" i="2" a="1"/>
  <c r="A71" i="2"/>
  <c r="A72" i="2" a="1"/>
  <c r="A72" i="2"/>
  <c r="A73" i="2" a="1"/>
  <c r="A73" i="2"/>
  <c r="A74" i="2" a="1"/>
  <c r="A74" i="2"/>
  <c r="A75" i="2" a="1"/>
  <c r="A75" i="2"/>
  <c r="A76" i="2" a="1"/>
  <c r="A76" i="2"/>
  <c r="A77" i="2" a="1"/>
  <c r="A77" i="2"/>
  <c r="A78" i="2" a="1"/>
  <c r="A78" i="2"/>
  <c r="A79" i="2" a="1"/>
  <c r="A79" i="2"/>
  <c r="A80" i="2" a="1"/>
  <c r="A80" i="2"/>
  <c r="A81" i="2" a="1"/>
  <c r="A81" i="2"/>
  <c r="A82" i="2" a="1"/>
  <c r="A82" i="2"/>
  <c r="A83" i="2" a="1"/>
  <c r="A83" i="2"/>
  <c r="A84" i="2" a="1"/>
  <c r="A84" i="2"/>
  <c r="A85" i="2" a="1"/>
  <c r="A85" i="2"/>
  <c r="A86" i="2" a="1"/>
  <c r="A86" i="2"/>
  <c r="A87" i="2" a="1"/>
  <c r="A87" i="2"/>
  <c r="A88" i="2" a="1"/>
  <c r="A88" i="2"/>
  <c r="A89" i="2" a="1"/>
  <c r="A89" i="2"/>
  <c r="A90" i="2" a="1"/>
  <c r="A90" i="2"/>
  <c r="A91" i="2" a="1"/>
  <c r="A91" i="2"/>
  <c r="A92" i="2" a="1"/>
  <c r="A92" i="2"/>
  <c r="A93" i="2" a="1"/>
  <c r="A93" i="2"/>
  <c r="A94" i="2" a="1"/>
  <c r="A94" i="2"/>
  <c r="A95" i="2" a="1"/>
  <c r="A95" i="2"/>
  <c r="A96" i="2" a="1"/>
  <c r="A96" i="2"/>
  <c r="A97" i="2" a="1"/>
  <c r="A97" i="2"/>
  <c r="A98" i="2" a="1"/>
  <c r="A98" i="2"/>
  <c r="A99" i="2" a="1"/>
  <c r="A99" i="2"/>
  <c r="A100" i="2" a="1"/>
  <c r="A100" i="2"/>
  <c r="A101" i="2" a="1"/>
  <c r="A101" i="2"/>
  <c r="A3" i="2" a="1"/>
  <c r="A3" i="2"/>
  <c r="A4" i="2" a="1"/>
  <c r="A4" i="2"/>
  <c r="A5" i="2" a="1"/>
  <c r="A5" i="2"/>
  <c r="A6" i="2" a="1"/>
  <c r="A6" i="2"/>
  <c r="A7" i="2" a="1"/>
  <c r="A7" i="2"/>
  <c r="A8" i="2" a="1"/>
  <c r="A8" i="2"/>
  <c r="A9" i="2" a="1"/>
  <c r="A9" i="2"/>
  <c r="A10" i="2" a="1"/>
  <c r="A10" i="2"/>
  <c r="A11" i="2" a="1"/>
  <c r="A11" i="2"/>
  <c r="B3" i="2" a="1"/>
  <c r="B3" i="2"/>
  <c r="C3" i="2" a="1"/>
  <c r="C3" i="2"/>
  <c r="B4" i="2" a="1"/>
  <c r="B4" i="2"/>
  <c r="C4" i="2" a="1"/>
  <c r="C4" i="2"/>
  <c r="B5" i="2" a="1"/>
  <c r="B5" i="2"/>
  <c r="C5" i="2" a="1"/>
  <c r="C5" i="2"/>
  <c r="B6" i="2" a="1"/>
  <c r="B6" i="2"/>
  <c r="C6" i="2" a="1"/>
  <c r="C6" i="2"/>
  <c r="B7" i="2" a="1"/>
  <c r="B7" i="2"/>
  <c r="C7" i="2" a="1"/>
  <c r="C7" i="2"/>
  <c r="B8" i="2" a="1"/>
  <c r="B8" i="2"/>
  <c r="C8" i="2" a="1"/>
  <c r="C8" i="2"/>
  <c r="B9" i="2" a="1"/>
  <c r="B9" i="2"/>
  <c r="C9" i="2" a="1"/>
  <c r="C9" i="2"/>
  <c r="B10" i="2" a="1"/>
  <c r="B10" i="2"/>
  <c r="C10" i="2" a="1"/>
  <c r="C10" i="2"/>
  <c r="B11" i="2" a="1"/>
  <c r="B11" i="2"/>
  <c r="C11" i="2" a="1"/>
  <c r="C11" i="2"/>
  <c r="B12" i="2" a="1"/>
  <c r="B12" i="2"/>
  <c r="C12" i="2" a="1"/>
  <c r="C12" i="2"/>
  <c r="B13" i="2" a="1"/>
  <c r="B13" i="2"/>
  <c r="C13" i="2" a="1"/>
  <c r="C13" i="2"/>
  <c r="B14" i="2" a="1"/>
  <c r="B14" i="2"/>
  <c r="C14" i="2" a="1"/>
  <c r="C14" i="2"/>
  <c r="B15" i="2" a="1"/>
  <c r="B15" i="2"/>
  <c r="C15" i="2" a="1"/>
  <c r="C15" i="2"/>
  <c r="B16" i="2" a="1"/>
  <c r="B16" i="2"/>
  <c r="C16" i="2" a="1"/>
  <c r="C16" i="2"/>
  <c r="B17" i="2" a="1"/>
  <c r="B17" i="2"/>
  <c r="C17" i="2" a="1"/>
  <c r="C17" i="2"/>
  <c r="B18" i="2" a="1"/>
  <c r="B18" i="2"/>
  <c r="C18" i="2" a="1"/>
  <c r="C18" i="2"/>
  <c r="B19" i="2" a="1"/>
  <c r="B19" i="2"/>
  <c r="C19" i="2" a="1"/>
  <c r="C19" i="2"/>
  <c r="B20" i="2" a="1"/>
  <c r="B20" i="2"/>
  <c r="C20" i="2" a="1"/>
  <c r="C20" i="2"/>
  <c r="B21" i="2" a="1"/>
  <c r="B21" i="2"/>
  <c r="C21" i="2" a="1"/>
  <c r="C21" i="2"/>
  <c r="B22" i="2" a="1"/>
  <c r="B22" i="2"/>
  <c r="C22" i="2" a="1"/>
  <c r="C22" i="2"/>
  <c r="B23" i="2" a="1"/>
  <c r="B23" i="2"/>
  <c r="C23" i="2" a="1"/>
  <c r="C23" i="2"/>
  <c r="B24" i="2" a="1"/>
  <c r="B24" i="2"/>
  <c r="C24" i="2" a="1"/>
  <c r="C24" i="2"/>
  <c r="B25" i="2" a="1"/>
  <c r="B25" i="2"/>
  <c r="C25" i="2" a="1"/>
  <c r="C25" i="2"/>
  <c r="B26" i="2" a="1"/>
  <c r="B26" i="2"/>
  <c r="C26" i="2" a="1"/>
  <c r="C26" i="2"/>
  <c r="B27" i="2" a="1"/>
  <c r="B27" i="2"/>
  <c r="C27" i="2" a="1"/>
  <c r="C27" i="2"/>
  <c r="B28" i="2" a="1"/>
  <c r="B28" i="2"/>
  <c r="C28" i="2" a="1"/>
  <c r="C28" i="2"/>
  <c r="B29" i="2" a="1"/>
  <c r="B29" i="2"/>
  <c r="C29" i="2" a="1"/>
  <c r="C29" i="2"/>
  <c r="B30" i="2" a="1"/>
  <c r="B30" i="2"/>
  <c r="C30" i="2" a="1"/>
  <c r="C30" i="2"/>
  <c r="B31" i="2" a="1"/>
  <c r="B31" i="2"/>
  <c r="C31" i="2" a="1"/>
  <c r="C31" i="2"/>
  <c r="B32" i="2" a="1"/>
  <c r="B32" i="2"/>
  <c r="C32" i="2" a="1"/>
  <c r="C32" i="2"/>
  <c r="B33" i="2" a="1"/>
  <c r="B33" i="2"/>
  <c r="C33" i="2" a="1"/>
  <c r="C33" i="2"/>
  <c r="B34" i="2" a="1"/>
  <c r="B34" i="2"/>
  <c r="C34" i="2" a="1"/>
  <c r="C34" i="2"/>
  <c r="B35" i="2" a="1"/>
  <c r="B35" i="2"/>
  <c r="C35" i="2" a="1"/>
  <c r="C35" i="2"/>
  <c r="B36" i="2" a="1"/>
  <c r="B36" i="2"/>
  <c r="C36" i="2" a="1"/>
  <c r="C36" i="2"/>
  <c r="B37" i="2" a="1"/>
  <c r="B37" i="2"/>
  <c r="C37" i="2" a="1"/>
  <c r="C37" i="2"/>
  <c r="B38" i="2" a="1"/>
  <c r="B38" i="2"/>
  <c r="C38" i="2" a="1"/>
  <c r="C38" i="2"/>
  <c r="B39" i="2" a="1"/>
  <c r="B39" i="2"/>
  <c r="C39" i="2" a="1"/>
  <c r="C39" i="2"/>
  <c r="B40" i="2" a="1"/>
  <c r="B40" i="2"/>
  <c r="C40" i="2" a="1"/>
  <c r="C40" i="2"/>
  <c r="B41" i="2" a="1"/>
  <c r="B41" i="2"/>
  <c r="C41" i="2" a="1"/>
  <c r="C41" i="2"/>
  <c r="B42" i="2" a="1"/>
  <c r="B42" i="2"/>
  <c r="C42" i="2" a="1"/>
  <c r="C42" i="2"/>
  <c r="B43" i="2" a="1"/>
  <c r="B43" i="2"/>
  <c r="C43" i="2" a="1"/>
  <c r="C43" i="2"/>
  <c r="B44" i="2" a="1"/>
  <c r="B44" i="2"/>
  <c r="C44" i="2" a="1"/>
  <c r="C44" i="2"/>
  <c r="B45" i="2" a="1"/>
  <c r="B45" i="2"/>
  <c r="C45" i="2" a="1"/>
  <c r="C45" i="2"/>
  <c r="B46" i="2" a="1"/>
  <c r="B46" i="2"/>
  <c r="C46" i="2" a="1"/>
  <c r="C46" i="2"/>
  <c r="B47" i="2" a="1"/>
  <c r="B47" i="2"/>
  <c r="C47" i="2" a="1"/>
  <c r="C47" i="2"/>
  <c r="B48" i="2" a="1"/>
  <c r="B48" i="2"/>
  <c r="C48" i="2" a="1"/>
  <c r="C48" i="2"/>
  <c r="B49" i="2" a="1"/>
  <c r="B49" i="2"/>
  <c r="C49" i="2" a="1"/>
  <c r="C49" i="2"/>
  <c r="B50" i="2" a="1"/>
  <c r="B50" i="2"/>
  <c r="C50" i="2" a="1"/>
  <c r="C50" i="2"/>
  <c r="B51" i="2" a="1"/>
  <c r="B51" i="2"/>
  <c r="C51" i="2" a="1"/>
  <c r="C51" i="2"/>
  <c r="B52" i="2" a="1"/>
  <c r="B52" i="2"/>
  <c r="C52" i="2" a="1"/>
  <c r="C52" i="2"/>
  <c r="B53" i="2" a="1"/>
  <c r="B53" i="2"/>
  <c r="C53" i="2" a="1"/>
  <c r="C53" i="2"/>
  <c r="B54" i="2" a="1"/>
  <c r="B54" i="2"/>
  <c r="C54" i="2" a="1"/>
  <c r="C54" i="2"/>
  <c r="B55" i="2" a="1"/>
  <c r="B55" i="2"/>
  <c r="C55" i="2" a="1"/>
  <c r="C55" i="2"/>
  <c r="B56" i="2" a="1"/>
  <c r="B56" i="2"/>
  <c r="C56" i="2" a="1"/>
  <c r="C56" i="2"/>
  <c r="B57" i="2" a="1"/>
  <c r="B57" i="2"/>
  <c r="C57" i="2" a="1"/>
  <c r="C57" i="2"/>
  <c r="B58" i="2" a="1"/>
  <c r="B58" i="2"/>
  <c r="C58" i="2" a="1"/>
  <c r="C58" i="2"/>
  <c r="B59" i="2" a="1"/>
  <c r="B59" i="2"/>
  <c r="C59" i="2" a="1"/>
  <c r="C59" i="2"/>
  <c r="B60" i="2" a="1"/>
  <c r="B60" i="2"/>
  <c r="C60" i="2" a="1"/>
  <c r="C60" i="2"/>
  <c r="B61" i="2" a="1"/>
  <c r="B61" i="2"/>
  <c r="C61" i="2" a="1"/>
  <c r="C61" i="2"/>
  <c r="B62" i="2" a="1"/>
  <c r="B62" i="2"/>
  <c r="C62" i="2" a="1"/>
  <c r="C62" i="2"/>
  <c r="B63" i="2" a="1"/>
  <c r="B63" i="2"/>
  <c r="C63" i="2" a="1"/>
  <c r="C63" i="2"/>
  <c r="B64" i="2" a="1"/>
  <c r="B64" i="2"/>
  <c r="C64" i="2" a="1"/>
  <c r="C64" i="2"/>
  <c r="B65" i="2" a="1"/>
  <c r="B65" i="2"/>
  <c r="C65" i="2" a="1"/>
  <c r="C65" i="2"/>
  <c r="B66" i="2" a="1"/>
  <c r="B66" i="2"/>
  <c r="C66" i="2" a="1"/>
  <c r="C66" i="2"/>
  <c r="B67" i="2" a="1"/>
  <c r="B67" i="2"/>
  <c r="C67" i="2" a="1"/>
  <c r="C67" i="2"/>
  <c r="B68" i="2" a="1"/>
  <c r="B68" i="2"/>
  <c r="C68" i="2" a="1"/>
  <c r="C68" i="2"/>
  <c r="B69" i="2" a="1"/>
  <c r="B69" i="2"/>
  <c r="C69" i="2" a="1"/>
  <c r="C69" i="2"/>
  <c r="B70" i="2" a="1"/>
  <c r="B70" i="2"/>
  <c r="C70" i="2" a="1"/>
  <c r="C70" i="2"/>
  <c r="B71" i="2" a="1"/>
  <c r="B71" i="2"/>
  <c r="C71" i="2" a="1"/>
  <c r="C71" i="2"/>
  <c r="B72" i="2" a="1"/>
  <c r="B72" i="2"/>
  <c r="C72" i="2" a="1"/>
  <c r="C72" i="2"/>
  <c r="B73" i="2" a="1"/>
  <c r="B73" i="2"/>
  <c r="C73" i="2" a="1"/>
  <c r="C73" i="2"/>
  <c r="B74" i="2" a="1"/>
  <c r="B74" i="2"/>
  <c r="C74" i="2" a="1"/>
  <c r="C74" i="2"/>
  <c r="B75" i="2" a="1"/>
  <c r="B75" i="2"/>
  <c r="C75" i="2" a="1"/>
  <c r="C75" i="2"/>
  <c r="B76" i="2" a="1"/>
  <c r="B76" i="2"/>
  <c r="C76" i="2" a="1"/>
  <c r="C76" i="2"/>
  <c r="B77" i="2" a="1"/>
  <c r="B77" i="2"/>
  <c r="C77" i="2" a="1"/>
  <c r="C77" i="2"/>
  <c r="B78" i="2" a="1"/>
  <c r="B78" i="2"/>
  <c r="C78" i="2" a="1"/>
  <c r="C78" i="2"/>
  <c r="B79" i="2" a="1"/>
  <c r="B79" i="2"/>
  <c r="C79" i="2" a="1"/>
  <c r="C79" i="2"/>
  <c r="B80" i="2" a="1"/>
  <c r="B80" i="2"/>
  <c r="C80" i="2" a="1"/>
  <c r="C80" i="2"/>
  <c r="B81" i="2" a="1"/>
  <c r="B81" i="2"/>
  <c r="C81" i="2" a="1"/>
  <c r="C81" i="2"/>
  <c r="B82" i="2" a="1"/>
  <c r="B82" i="2"/>
  <c r="C82" i="2" a="1"/>
  <c r="C82" i="2"/>
  <c r="B83" i="2" a="1"/>
  <c r="B83" i="2"/>
  <c r="C83" i="2" a="1"/>
  <c r="C83" i="2"/>
  <c r="B84" i="2" a="1"/>
  <c r="B84" i="2"/>
  <c r="C84" i="2" a="1"/>
  <c r="C84" i="2"/>
  <c r="B85" i="2" a="1"/>
  <c r="B85" i="2"/>
  <c r="C85" i="2" a="1"/>
  <c r="C85" i="2"/>
  <c r="B86" i="2" a="1"/>
  <c r="B86" i="2"/>
  <c r="C86" i="2" a="1"/>
  <c r="C86" i="2"/>
  <c r="B87" i="2" a="1"/>
  <c r="B87" i="2"/>
  <c r="C87" i="2" a="1"/>
  <c r="C87" i="2"/>
  <c r="B88" i="2" a="1"/>
  <c r="B88" i="2"/>
  <c r="C88" i="2" a="1"/>
  <c r="C88" i="2"/>
  <c r="B89" i="2" a="1"/>
  <c r="B89" i="2"/>
  <c r="C89" i="2" a="1"/>
  <c r="C89" i="2"/>
  <c r="B90" i="2" a="1"/>
  <c r="B90" i="2"/>
  <c r="C90" i="2" a="1"/>
  <c r="C90" i="2"/>
  <c r="B91" i="2" a="1"/>
  <c r="B91" i="2"/>
  <c r="C91" i="2" a="1"/>
  <c r="C91" i="2"/>
  <c r="B92" i="2" a="1"/>
  <c r="B92" i="2"/>
  <c r="C92" i="2" a="1"/>
  <c r="C92" i="2"/>
  <c r="B93" i="2" a="1"/>
  <c r="B93" i="2"/>
  <c r="C93" i="2" a="1"/>
  <c r="C93" i="2"/>
  <c r="B94" i="2" a="1"/>
  <c r="B94" i="2"/>
  <c r="C94" i="2" a="1"/>
  <c r="C94" i="2"/>
  <c r="B95" i="2" a="1"/>
  <c r="B95" i="2"/>
  <c r="C95" i="2" a="1"/>
  <c r="C95" i="2"/>
  <c r="B96" i="2" a="1"/>
  <c r="B96" i="2"/>
  <c r="C96" i="2" a="1"/>
  <c r="C96" i="2"/>
  <c r="B97" i="2" a="1"/>
  <c r="B97" i="2"/>
  <c r="C97" i="2" a="1"/>
  <c r="C97" i="2"/>
  <c r="B98" i="2" a="1"/>
  <c r="B98" i="2"/>
  <c r="C98" i="2" a="1"/>
  <c r="C98" i="2"/>
  <c r="B99" i="2" a="1"/>
  <c r="B99" i="2"/>
  <c r="C99" i="2" a="1"/>
  <c r="C99" i="2"/>
  <c r="B100" i="2" a="1"/>
  <c r="B100" i="2"/>
  <c r="C100" i="2" a="1"/>
  <c r="C100" i="2"/>
  <c r="B101" i="2" a="1"/>
  <c r="B101" i="2"/>
  <c r="C101" i="2" a="1"/>
  <c r="C101" i="2"/>
  <c r="C2" i="2" a="1"/>
  <c r="C2" i="2" s="1"/>
  <c r="B2" i="2" a="1"/>
  <c r="B2" i="2"/>
  <c r="A2" i="2" a="1"/>
  <c r="A2" i="2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<sst xmlns="http://schemas.openxmlformats.org/spreadsheetml/2006/main" count="352" uniqueCount="290">
  <si>
    <t>================================================================================</t>
  </si>
  <si>
    <t>従業員情報台帳　　　　　　　　　　　　出力日：2024/06/30　　PAGE:  1</t>
  </si>
  <si>
    <t>従業員CD  氏名　　　　　　　　 性別 生年月日</t>
  </si>
  <si>
    <t>　　　　　〒　　　　 住所</t>
  </si>
  <si>
    <t>　　　　　部署CD 部署名　　　　　　 入社年月日 等級</t>
  </si>
  <si>
    <t>────────────────────────────────────────────────────────────</t>
  </si>
  <si>
    <t>EMP-00101 佐藤　一郎　　　　　 男　 1985/04/12</t>
  </si>
  <si>
    <t>　　　　　105-0001 東京都港区虎ノ門１丁目２－３　　　　　　　　</t>
  </si>
  <si>
    <t>　　　　　001000 総務部　　　　　　 2010/04/01 M2</t>
  </si>
  <si>
    <t>EMP-00102 鈴木　花子　　　　　 女　 1990/08/23</t>
  </si>
  <si>
    <t>　　　　　150-0002 東京都渋谷区渋谷２丁目５－８　　　　　　　　</t>
  </si>
  <si>
    <t>　　　　　001000 総務部　　　　　　 2013/04/01 M1</t>
  </si>
  <si>
    <t>EMP-00103 高橋　健太　　　　　 男　 1988/01/15</t>
  </si>
  <si>
    <t>　　　　　160-0023 東京都新宿区西新宿３丁目７－１　　　　　　　</t>
  </si>
  <si>
    <t>　　　　　001000 総務部　　　　　　 2011/10/01 M2</t>
  </si>
  <si>
    <t>EMP-00104 渡辺　美咲　　　　　 女　 1992/11/30</t>
  </si>
  <si>
    <t>　　　　　108-0075 東京都港区港南４丁目１－６　　　　　　　　　</t>
  </si>
  <si>
    <t>　　　　　001000 総務部　　　　　　 2015/04/01 S3</t>
  </si>
  <si>
    <t>EMP-00105 伊藤　大輔　　　　　 男　 1983/06/08</t>
  </si>
  <si>
    <t>　　　　　141-0032 東京都品川区大崎５丁目３－２　　　　　　　　</t>
  </si>
  <si>
    <t>　　　　　001000 総務部　　　　　　 2008/04/01 M3</t>
  </si>
  <si>
    <t>　　　　　　　　　　　　　　　　　　　　　　　　　　　　　PAGE:  1 END</t>
  </si>
  <si>
    <t>従業員情報台帳　　　　　　　　　　　　出力日：2024/06/30　　PAGE:  2</t>
  </si>
  <si>
    <t>EMP-00201 中村　翔太　　　　　 男　 1987/03/20</t>
  </si>
  <si>
    <t>　　　　　170-0013 東京都豊島区東池袋１丁目４－５　　　　　　　</t>
  </si>
  <si>
    <t>　　　　　002000 営業第一課　　　　 2010/04/01 M2</t>
  </si>
  <si>
    <t>EMP-00202 小林　真由美　　　　 女　 1991/07/14</t>
  </si>
  <si>
    <t>　　　　　114-0002 東京都北区王子２丁目８－３　　　　　　　　　</t>
  </si>
  <si>
    <t>　　　　　002000 営業第一課　　　　 2014/04/01 M1</t>
  </si>
  <si>
    <t>EMP-00203 松本　裕也　　　　　 男　 1986/12/01</t>
  </si>
  <si>
    <t>　　　　　116-0013 東京都荒川区西日暮里３丁目６－７　　　　　　</t>
  </si>
  <si>
    <t>　　　　　002000 営業第一課　　　　 2009/07/01 M3</t>
  </si>
  <si>
    <t>EMP-00204 吉田　あかり　　　　 女　 1993/05/28</t>
  </si>
  <si>
    <t>　　　　　120-0034 東京都足立区千住１丁目２－９　　　　　　　　</t>
  </si>
  <si>
    <t>　　　　　002000 営業第一課　　　　 2016/04/01 S3</t>
  </si>
  <si>
    <t>　　　　　　　　　　　　　　　　　　　　　　　　　　　　　PAGE:  2 END</t>
  </si>
  <si>
    <t>従業員情報台帳　　　　　　　　　　　　出力日：2024/06/30　　PAGE:  3</t>
  </si>
  <si>
    <t>EMP-00301 山本　拓海　　　　　 男　 1989/09/10</t>
  </si>
  <si>
    <t>　　　　　132-0035 東京都江戸川区平井３丁目５－１　　　　　　　</t>
  </si>
  <si>
    <t>　　　　　003000 営業第二課　　　　 2012/04/01 M2</t>
  </si>
  <si>
    <t>EMP-00302 井上　さくら　　　　 女　 1994/02/17</t>
  </si>
  <si>
    <t>　　　　　125-0061 東京都葛飾区亀有２丁目７－４　　　　　　　　</t>
  </si>
  <si>
    <t>　　　　　003000 営業第二課　　　　 2017/04/01 S2</t>
  </si>
  <si>
    <t>EMP-00303 木村　蓮　　　　　　 男　 1984/10/05</t>
  </si>
  <si>
    <t>　　　　　136-0076 東京都江東区南砂４丁目１－８　　　　　　　　</t>
  </si>
  <si>
    <t>　　　　　003000 営業第二課　　　　 2007/04/01 M3</t>
  </si>
  <si>
    <t>EMP-00304 林　　奈々子　　　　 女　 1995/08/22</t>
  </si>
  <si>
    <t>　　　　　131-0045 東京都墨田区押上２丁目３－６　　　　　　　　</t>
  </si>
  <si>
    <t>　　　　　003000 営業第二課　　　　 2018/04/01 S2</t>
  </si>
  <si>
    <t>　　　　　　　　　　　　　　　　　　　　　　　　　　　　　PAGE:  3 END</t>
  </si>
  <si>
    <t>従業員情報台帳　　　　　　　　　　　　出力日：2024/06/30　　PAGE:  4</t>
  </si>
  <si>
    <t>EMP-00401 加藤　雄大　　　　　 男　 1982/07/03</t>
  </si>
  <si>
    <t>　　　　　174-0046 東京都板橋区蓮根３丁目９－２　　　　　　　　</t>
  </si>
  <si>
    <t>　　　　　004000 製造部　　　　　　 2005/04/01 M3</t>
  </si>
  <si>
    <t>EMP-00402 林　　美穂　　　　　 女　 1990/04/18</t>
  </si>
  <si>
    <t>　　　　　178-0063 東京都練馬区東大泉５丁目２－７　　　　　　　</t>
  </si>
  <si>
    <t>　　　　　004000 製造部　　　　　　 2013/04/01 M1</t>
  </si>
  <si>
    <t>EMP-00403 斎藤　陽介　　　　　 男　 1986/03/25</t>
  </si>
  <si>
    <t>　　　　　176-0001 東京都練馬区練馬１丁目４－３　　　　　　　　</t>
  </si>
  <si>
    <t>　　　　　004000 製造部　　　　　　 2009/04/01 M2</t>
  </si>
  <si>
    <t>EMP-00404 清水　結衣　　　　　 女　 1993/12/11</t>
  </si>
  <si>
    <t>　　　　　173-0004 東京都板橋区板橋２丁目６－５　　　　　　　　</t>
  </si>
  <si>
    <t>　　　　　004000 製造部　　　　　　 2016/10/01 S3</t>
  </si>
  <si>
    <t>EMP-00405 山田　誠一　　　　　 男　 1981/01/30</t>
  </si>
  <si>
    <t>　　　　　175-0082 東京都板橋区高島平７丁目１－４　　　　　　　</t>
  </si>
  <si>
    <t>　　　　　004000 製造部　　　　　　 2004/04/01 M3</t>
  </si>
  <si>
    <t>　　　　　　　　　　　　　　　　　　　　　　　　　　　　　PAGE:  4 END</t>
  </si>
  <si>
    <t>従業員情報台帳　　　　　　　　　　　　出力日：2024/06/30　　PAGE:  5</t>
  </si>
  <si>
    <t>EMP-00501 山口　直樹　　　　　 男　 1988/11/07</t>
  </si>
  <si>
    <t>　　　　　167-0043 東京都杉並区上荻１丁目３－８　　　　　　　　</t>
  </si>
  <si>
    <t>　　　　　005000 経理部　　　　　　 2011/04/01 M2</t>
  </si>
  <si>
    <t>EMP-00502 前田　琴音　　　　　 女　 1992/06/19</t>
  </si>
  <si>
    <t>　　　　　166-0003 東京都杉並区高円寺南４丁目５－２　　　　　　</t>
  </si>
  <si>
    <t>　　　　　005000 経理部　　　　　　 2015/04/01 S3</t>
  </si>
  <si>
    <t>EMP-00503 藤田　悠人　　　　　 男　 1985/09/14</t>
  </si>
  <si>
    <t>　　　　　181-0013 東京都三鷹市下連雀３丁目２－６　　　　　　　</t>
  </si>
  <si>
    <t>　　　　　005000 経理部　　　　　　 2008/10/01 M3</t>
  </si>
  <si>
    <t>EMP-00504 岡田　七海　　　　　 女　 1996/03/08</t>
  </si>
  <si>
    <t>　　　　　180-0004 東京都武蔵野市吉祥寺本町１丁目７－３　　　　</t>
  </si>
  <si>
    <t>　　　　　005000 経理部　　　　　　 2019/04/01 S1</t>
  </si>
  <si>
    <t>　　　　　　　　　　　　　　　　　　　　　　　　　　　　　PAGE:  5 END</t>
  </si>
  <si>
    <t>番号</t>
    <rPh sb="0" eb="2">
      <t>バンゴウ</t>
    </rPh>
    <phoneticPr fontId="1"/>
  </si>
  <si>
    <t>作業列１</t>
    <rPh sb="0" eb="2">
      <t>サギョウ</t>
    </rPh>
    <rPh sb="2" eb="3">
      <t>レツ</t>
    </rPh>
    <phoneticPr fontId="1"/>
  </si>
  <si>
    <t>作業列２</t>
    <rPh sb="0" eb="3">
      <t>サギョウレツ</t>
    </rPh>
    <phoneticPr fontId="1"/>
  </si>
  <si>
    <t>作業列３</t>
    <rPh sb="0" eb="3">
      <t>サギョウレツ</t>
    </rPh>
    <phoneticPr fontId="1"/>
  </si>
  <si>
    <t>従業員CD</t>
  </si>
  <si>
    <t>氏名</t>
    <rPh sb="0" eb="2">
      <t>シメイ</t>
    </rPh>
    <phoneticPr fontId="1"/>
  </si>
  <si>
    <t>性別</t>
    <rPh sb="0" eb="2">
      <t>セイベツ</t>
    </rPh>
    <phoneticPr fontId="1"/>
  </si>
  <si>
    <t>生年月日</t>
    <rPh sb="0" eb="4">
      <t>セイネンガッピ</t>
    </rPh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</si>
  <si>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</si>
  <si>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</si>
  <si>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部署CD</t>
    <phoneticPr fontId="1"/>
  </si>
  <si>
    <t>部署名</t>
    <phoneticPr fontId="1"/>
  </si>
  <si>
    <t>入社年月日</t>
    <phoneticPr fontId="1"/>
  </si>
  <si>
    <t>等級</t>
    <phoneticPr fontId="1"/>
  </si>
  <si>
    <t>■ このテンプレートの仕組み</t>
  </si>
  <si>
    <t>処理の流れ</t>
  </si>
  <si>
    <t>① 貼付シートのB1セルに固定長テキストをそのまま貼り付ける</t>
  </si>
  <si>
    <t>② 判定列（貼付シートA列）で1人目の1行目（先頭行）だけに行番号の目印が付く</t>
  </si>
  <si>
    <t>　 2行目・3行目および不要行（ヘッダー、罫線、フッター等）は空欄になる</t>
  </si>
  <si>
    <t>③ 抽出シートの作業列１が目印の付いた行（1行目）を取り込む</t>
  </si>
  <si>
    <t>④ 作業列２が1行目の次の行（2行目）を取り込む</t>
  </si>
  <si>
    <t>⑤ 作業列３が1行目の2つ後の行（3行目）を取り込む</t>
  </si>
  <si>
    <t>⑥ これで1人分の3行が横に並んだ状態になる</t>
  </si>
  <si>
    <t>⑦ 各作業列に対してMIDB関数でバイト位置ごとに項目を切り出す</t>
  </si>
  <si>
    <t>⑧ TRIM関数で切り出し後の余分なスペースを除去する</t>
  </si>
  <si>
    <t>※ テンプレート①（1行1レコード）との違いは③④⑤の工程です</t>
  </si>
  <si>
    <t>　 1行目を基準にして「次の行」「2つ後の行」を参照することで</t>
  </si>
  <si>
    <t>　 3行にまたがるデータを1行にまとめています</t>
  </si>
  <si>
    <t>■ 使用している関数の説明</t>
  </si>
  <si>
    <t>【MIDB関数】</t>
  </si>
  <si>
    <t>書式：MIDB(文字列, 開始位置, バイト数)</t>
  </si>
  <si>
    <t>文字列のバイト位置を指定して切り出す関数です。</t>
  </si>
  <si>
    <t>固定長テキストでは全角＝2バイト、半角＝1バイトで各項目の位置が決まっているため、</t>
  </si>
  <si>
    <t>MID（文字数単位）ではなくMIDB（バイト単位）を使います。</t>
  </si>
  <si>
    <t>例：=MIDB(A2, 8, 9) → A2セルの8バイト目から9バイト分を切り出す</t>
  </si>
  <si>
    <t>【TRIM関数】</t>
  </si>
  <si>
    <t>書式：TRIM(文字列)</t>
  </si>
  <si>
    <t>文字列の先頭と末尾のスペースを除去し、単語間のスペースを1つにまとめる関数です。</t>
  </si>
  <si>
    <t>固定長テキストでは各項目が決まったバイト数で区切られており、</t>
  </si>
  <si>
    <t>短い文字列は残りがスペース（空白）で埋められています。</t>
  </si>
  <si>
    <t>例：「佐藤　一郎　　　　　　」→ TRIM適用後 →「佐藤　一郎」</t>
  </si>
  <si>
    <t>MIDBで切り出しただけでは後ろにスペースが大量に残るため、</t>
  </si>
  <si>
    <t>必ずTRIM(MIDB(...))の形で組み合わせて使用します。</t>
  </si>
  <si>
    <t>※ TRIM関数は半角スペースのみ除去します。全角スペースは除去されません。</t>
  </si>
  <si>
    <t>　 固定長テキストの埋め文字が全角スペースの場合は</t>
  </si>
  <si>
    <t>　 SUBSTITUTE関数で全角スペースを半角スペースに置換してからTRIMをかけるか、</t>
  </si>
  <si>
    <t>　 別途対処が必要です。</t>
  </si>
  <si>
    <t>【VALUE関数】</t>
  </si>
  <si>
    <t>書式：VALUE(文字列)</t>
  </si>
  <si>
    <t>文字列を数値に変換する関数です。</t>
  </si>
  <si>
    <t>MIDBで切り出した数値項目は文字列として取得されるため、</t>
  </si>
  <si>
    <t>VALUE(TRIM(MIDB(...)))の形で数値に変換します。</t>
  </si>
  <si>
    <t>※ このテンプレートでは数値項目がないためVALUEは使用していませんが、</t>
  </si>
  <si>
    <t>　 金額等の数値項目を追加する場合はVALUEで囲んでください。</t>
  </si>
  <si>
    <t>■ 1人分のデータ構造（3行で1レコード）</t>
  </si>
  <si>
    <t>このテンプレートが対象とする帳票は、1人分の情報が3行に分かれて印字されています。</t>
  </si>
  <si>
    <t xml:space="preserve">  1行目：従業員CD、氏名、性別、生年月日</t>
  </si>
  <si>
    <t xml:space="preserve">  2行目：郵便番号、住所</t>
  </si>
  <si>
    <t xml:space="preserve">  3行目：部署CD、部署名、入社年月日、等級</t>
  </si>
  <si>
    <t>貼付シートでは1行目だけに目印（行番号）を付けます。</t>
  </si>
  <si>
    <t>抽出シートでは1行目を基準にして2行目・3行目を横に引っ張ることで</t>
  </si>
  <si>
    <t>3行を1行にまとめています。</t>
  </si>
  <si>
    <t>■ 作業列の仕組み</t>
  </si>
  <si>
    <t>抽出シートのA～C列は「作業列」です。最終的な出力には使いませんが、</t>
  </si>
  <si>
    <t>3行結合の中間処理として必要な列です。</t>
  </si>
  <si>
    <t xml:space="preserve">  作業列１（A列）：貼付シートから1行目（EMP-で始まる行）を取り込む</t>
  </si>
  <si>
    <t xml:space="preserve">  作業列２（B列）：作業列１の元の行の次の行（2行目＝住所行）を取り込む</t>
  </si>
  <si>
    <t xml:space="preserve">  作業列３（C列）：作業列１の元の行の2つ後の行（3行目＝部署行）を取り込む</t>
  </si>
  <si>
    <t>この3列が揃った状態で、D列以降のMIDB関数がそれぞれの作業列から</t>
  </si>
  <si>
    <t>必要な項目を切り出します。</t>
  </si>
  <si>
    <t xml:space="preserve">  1行目の項目（従業員CD・氏名・性別・生年月日）→ 作業列１からMIDB</t>
  </si>
  <si>
    <t xml:space="preserve">  2行目の項目（郵便番号・住所）　　　　　　　　→ 作業列２からMIDB</t>
  </si>
  <si>
    <t xml:space="preserve">  3行目の項目（部署CD・部署名・入社年月日・等級）→ 作業列３からMIDB</t>
  </si>
  <si>
    <t>■ カスタマイズ手順</t>
  </si>
  <si>
    <t>────────────────────────────────────────</t>
  </si>
  <si>
    <t>STEP 0：自分の固定長テキストの構造を確認する</t>
  </si>
  <si>
    <t>まず以下を確認してください。</t>
  </si>
  <si>
    <t>・1レコードが何行で構成されているか（このテンプレートは3行）</t>
  </si>
  <si>
    <t>・各行にどの項目が含まれているか</t>
  </si>
  <si>
    <t>・1行目を識別できる特徴は何か（このテンプレートでは「EMP-」で始まる）</t>
  </si>
  <si>
    <t>1レコードが2行や4行以上の場合は、作業列の数を増減する必要があります。</t>
  </si>
  <si>
    <t>2行なら作業列２まで、4行なら作業列４を追加してください。</t>
  </si>
  <si>
    <t>STEP 1：バイト位置を確認する</t>
  </si>
  <si>
    <t>現在のサンプルデータのバイト位置定義は以下の通りです。</t>
  </si>
  <si>
    <t xml:space="preserve">  【1行目】従業員CD・氏名・性別・生年月日</t>
  </si>
  <si>
    <t xml:space="preserve">  項目名　　　開始バイト　バイト数　型　　　　　切り出し元</t>
  </si>
  <si>
    <t xml:space="preserve">  ──────────────────────────────────────────</t>
  </si>
  <si>
    <t xml:space="preserve">  従業員CD　　　 1　　　　　 9　　　半角　　　　作業列１</t>
  </si>
  <si>
    <t xml:space="preserve">  氏名　　　　　11　　　　　20　　　全角混在　　作業列１</t>
  </si>
  <si>
    <t xml:space="preserve">  性別　　　　　32　　　　　 4　　　全角　　　　作業列１</t>
  </si>
  <si>
    <t xml:space="preserve">  生年月日　　　37　　　　　10　　　半角　　　　作業列１</t>
  </si>
  <si>
    <t xml:space="preserve">  【2行目】郵便番号・住所</t>
  </si>
  <si>
    <t xml:space="preserve">  郵便番号　　　 1　　　　　 8　　　半角　　　　作業列２</t>
  </si>
  <si>
    <t xml:space="preserve">  住所　　　　　10　　　　　40　　　全角混在　　作業列２</t>
  </si>
  <si>
    <t xml:space="preserve">  【3行目】部署CD・部署名・入社年月日・等級</t>
  </si>
  <si>
    <t xml:space="preserve">  部署CD　　　　 1　　　　　 6　　　半角　　　　作業列３</t>
  </si>
  <si>
    <t xml:space="preserve">  部署名　　　　 8　　　　　16　　　全角混在　　作業列３</t>
  </si>
  <si>
    <t xml:space="preserve">  入社年月日　　25　　　　　10　　　半角　　　　作業列３</t>
  </si>
  <si>
    <t xml:space="preserve">  等級　　　　　36　　　　　 2　　　半角　　　　作業列３</t>
  </si>
  <si>
    <t>自分のデータと異なる場合はSTEP 3で書き換えます。</t>
  </si>
  <si>
    <t>STEP 2：貼付シートの判定式を自分のデータに合わせる</t>
  </si>
  <si>
    <t>貼付シートでは1行目（先頭行）だけに行番号を付ける判定式があります。</t>
  </si>
  <si>
    <t>以下の文字列で不要行を除外しています。</t>
  </si>
  <si>
    <t xml:space="preserve">  「====」　　　→ 区切り線</t>
  </si>
  <si>
    <t xml:space="preserve">  「────」　　　→ 罫線</t>
  </si>
  <si>
    <t xml:space="preserve">  「従業員情報」→ ページヘッダー</t>
  </si>
  <si>
    <t xml:space="preserve">  「従業員CD」　→ 列見出し（1行目用）</t>
  </si>
  <si>
    <t xml:space="preserve">  「〒」　　　　→ 列見出し（2行目用）</t>
  </si>
  <si>
    <t xml:space="preserve">  「部署CD」　　→ 列見出し（3行目用）※データ行の3行目と区別が必要</t>
  </si>
  <si>
    <t xml:space="preserve">  「PAGE:」　　 → ページフッター</t>
  </si>
  <si>
    <t xml:space="preserve">  空白行</t>
  </si>
  <si>
    <t>さらに、1行目のデータ行だけに目印を付けるため、</t>
  </si>
  <si>
    <t>2行目・3行目のデータ行は除外する判定が入っています。</t>
  </si>
  <si>
    <t>このテンプレートでは「EMP-」で始まる行を1行目と判定しています。</t>
  </si>
  <si>
    <t>自分の帳票に合わせて判定文字列を書き換えてください。</t>
  </si>
  <si>
    <t>1行目を識別できる特徴（先頭の文字列やコード体系）を確認することが重要です。</t>
  </si>
  <si>
    <t>STEP 3：抽出シートのMIDB関数を書き換える</t>
  </si>
  <si>
    <t>各列のMIDB関数の第2引数（開始バイト）と第3引数（バイト数）を</t>
  </si>
  <si>
    <t>STEP 1で確認した値に書き換えます。</t>
  </si>
  <si>
    <t xml:space="preserve">  現在の設定：</t>
  </si>
  <si>
    <t xml:space="preserve">  【作業列１から切り出し】</t>
  </si>
  <si>
    <t xml:space="preserve">  従業員CD　 =TRIM(MIDB(A2, 1, 9))</t>
  </si>
  <si>
    <t xml:space="preserve">  氏名　　　 =TRIM(MIDB(A2, 11, 20))</t>
  </si>
  <si>
    <t xml:space="preserve">  生年月日　 =TRIM(MIDB(A2, 37, 10))</t>
  </si>
  <si>
    <t xml:space="preserve">  【作業列２から切り出し】</t>
  </si>
  <si>
    <t xml:space="preserve">  【作業列３から切り出し】</t>
  </si>
  <si>
    <t>書き換えるのはMIDBの第2引数（開始バイト）と第3引数（バイト数）の数字です。</t>
  </si>
  <si>
    <t>どの作業列から切り出すか（A列・B列・C列）を間違えないように注意してください。</t>
  </si>
  <si>
    <t>1行目を書き換えたら最終データ行までコピーしてください。</t>
  </si>
  <si>
    <t>STEP 4：項目を増やす・減らす</t>
  </si>
  <si>
    <t>項目を追加する場合：</t>
  </si>
  <si>
    <t xml:space="preserve">  既存のMIDB列をコピーして右に挿入し、開始バイトとバイト数を変更します。</t>
  </si>
  <si>
    <t xml:space="preserve">  その項目が何行目にあるかを確認し、対応する作業列を参照してください。</t>
  </si>
  <si>
    <t xml:space="preserve">  　1行目の項目 → 作業列１（A列）</t>
  </si>
  <si>
    <t xml:space="preserve">  　2行目の項目 → 作業列２（B列）</t>
  </si>
  <si>
    <t xml:space="preserve">  　3行目の項目 → 作業列３（C列）</t>
  </si>
  <si>
    <t xml:space="preserve">  見出し行も忘れずに追加してください。</t>
  </si>
  <si>
    <t>項目を減らす場合：</t>
  </si>
  <si>
    <t xml:space="preserve">  不要な列を削除するだけです。他の列の数式には影響しません。</t>
  </si>
  <si>
    <t xml:space="preserve">  ただし作業列（A～C列）は削除しないでください。</t>
  </si>
  <si>
    <t>1レコードの行数が変わる場合：</t>
  </si>
  <si>
    <t xml:space="preserve">  4行構成なら作業列４（D列）を追加し、</t>
  </si>
  <si>
    <t xml:space="preserve">  「作業列１の元の行の3つ後の行」を取り込む数式を設定します。</t>
  </si>
  <si>
    <t xml:space="preserve">  2行構成なら作業列３を削除しても構いません。</t>
  </si>
  <si>
    <t>STEP 5：動作確認</t>
  </si>
  <si>
    <t>1. 貼付シートのB1セルに自分のテキストデータを貼り付ける</t>
  </si>
  <si>
    <t>2. A列で1行目のデータ行にだけ番号が付いていることを確認</t>
  </si>
  <si>
    <t>　 （2行目・3行目・不要行は空欄であること）</t>
  </si>
  <si>
    <t>3. 抽出シートの作業列１に1行目が正しく並んでいることを確認</t>
  </si>
  <si>
    <t>4. 作業列２に2行目（住所行）が正しく並んでいることを確認</t>
  </si>
  <si>
    <t>5. 作業列３に3行目（部署行）が正しく並んでいることを確認</t>
  </si>
  <si>
    <t>6. MIDB列で各項目が正しく切り出されていることを確認</t>
  </si>
  <si>
    <t>7. 1人分のデータが1行にまとまっていることを確認</t>
  </si>
  <si>
    <t>よくあるエラー：</t>
  </si>
  <si>
    <t xml:space="preserve">  作業列２・３がずれる → 貼付シートで2行目・3行目に誤って目印が付いている</t>
  </si>
  <si>
    <t xml:space="preserve">  　　　　　　　　　　　 または罫線等の不要行が除外されていない</t>
  </si>
  <si>
    <t xml:space="preserve">  文字化け　　→ テキストの文字コードがShift_JISか確認</t>
  </si>
  <si>
    <t xml:space="preserve">  項目がずれる→ バイト位置の数え間違い（全角は2バイト）</t>
  </si>
  <si>
    <t xml:space="preserve">  　　　　　　　 または参照する作業列（A/B/C）の間違い</t>
  </si>
  <si>
    <t xml:space="preserve">  後ろにスペースが残る → TRIM関数が入っているか確認</t>
  </si>
  <si>
    <t xml:space="preserve">  全角スペースが残る　 → TRIMは半角スペースのみ除去のため別途対処が必要</t>
  </si>
  <si>
    <t>■ データが100人を超える場合</t>
  </si>
  <si>
    <t>抽出シートは初期状態で100人分の数式が入っています。</t>
  </si>
  <si>
    <t>100人を超えるデータの場合は、抽出シートの最終行の数式を</t>
  </si>
  <si>
    <t>必要な人数分だけ下にコピーしてください。</t>
  </si>
  <si>
    <t>作業列（A～C列）とD列以降（MIDB切り出し）の両方を</t>
  </si>
  <si>
    <t>同じ行数分コピーする必要があります。</t>
  </si>
  <si>
    <t>■ MIDB関数がExcelに表示されない場合</t>
  </si>
  <si>
    <t>Microsoft 365の最新版ではMIDB関数が数式タブや予測入力の候補に</t>
  </si>
  <si>
    <t>表示されないことがあります。</t>
  </si>
  <si>
    <t>これはMicrosoftがLEN・MID等をUnicode対応に改良した際に</t>
  </si>
  <si>
    <t>バイト系関数（MIDB・LENB・LEFTB等）がUI上から非表示になったためです。</t>
  </si>
  <si>
    <t>関数自体は削除されていません。</t>
  </si>
  <si>
    <t>対処法：セルに直接 =MIDB( と手入力すれば正常に動作します。</t>
  </si>
  <si>
    <t>このテンプレートには数式が埋め込み済みのため通常の使用では問題ありません。</t>
  </si>
  <si>
    <t>STEP 3で数式を書き換える際のみ手入力が必要です。</t>
  </si>
  <si>
    <t>■ 対応Excelバージョン</t>
  </si>
  <si>
    <t>Excel 2016 / 2019 / 2021 / 2024 デスクトップ版 → 問題なし</t>
  </si>
  <si>
    <t>Microsoft 365 デスクトップ版 → 問題なし（上記MIDB注意事項あり）</t>
  </si>
  <si>
    <t>Excel Online（Web版） → MIDB関数が使用できないため非対応</t>
  </si>
  <si>
    <t>※ VBA・マクロは一切使用していません。</t>
  </si>
  <si>
    <t>■ テンプレート①（1行1レコード編）との違い</t>
  </si>
  <si>
    <t>テンプレート①は1行で1レコードが完結するデータを対象としていました。</t>
  </si>
  <si>
    <t>テンプレート②は1レコードが複数行にまたがるデータを対象としています。</t>
  </si>
  <si>
    <t>追加された考え方は以下の通りです。</t>
  </si>
  <si>
    <t>・貼付シートで「先頭行だけ」に目印を付ける（2行目以降は付けない）</t>
  </si>
  <si>
    <t>・抽出シートで作業列を使い、先頭行を基準に後続行を横に並べる</t>
  </si>
  <si>
    <t>・MIDBの参照先が作業列ごとに異なる（どの行の項目かで参照先が変わる）</t>
  </si>
  <si>
    <t>この仕組みを理解すれば、3行に限らず2行・4行・5行など</t>
  </si>
  <si>
    <t>任意の行数で構成されるレコードに応用できます。</t>
  </si>
  <si>
    <t>■ FILTER関数による別の方法について</t>
  </si>
  <si>
    <t>Excel 2021以降またはMicrosoft 365をお使いの場合、</t>
  </si>
  <si>
    <t>FILTER関数を使うことで作業列１の取り込みをより簡潔に書くことができます。</t>
  </si>
  <si>
    <t>ただし本テンプレートでは以下の理由からFILTER関数を使用していません。</t>
  </si>
  <si>
    <t>・Excel 2016／2019ではFILTER関数が使用できない</t>
  </si>
  <si>
    <t>・複数行結合では行の位置関係（次の行、2つ後の行）の制御が必要であり、</t>
  </si>
  <si>
    <t>　FILTER関数だけでは対応が難しい場面がある</t>
  </si>
  <si>
    <t>・まず複数行結合の基本的な考え方（先頭行に目印→後続行を横に並べる）を</t>
  </si>
  <si>
    <t>　理解していただくことを優先した設計にしている</t>
  </si>
  <si>
    <t>FILTER関数に慣れている方は、このテンプレートの仕組みを理解した上で</t>
  </si>
  <si>
    <t>ご自身の環境に合わせて置き換えていただいても構いません。</t>
  </si>
  <si>
    <t>固定長テキスト整形テンプレート②（複数行結合編） ― カスタマイズ手順書</t>
    <phoneticPr fontId="1"/>
  </si>
  <si>
    <t xml:space="preserve">  性別　　　 =TRIM(MIDB(A2, 32, 2))</t>
    <phoneticPr fontId="1"/>
  </si>
  <si>
    <t xml:space="preserve">  郵便番号　 =TRIM(MIDB(B2, 11, 8))</t>
    <phoneticPr fontId="1"/>
  </si>
  <si>
    <t xml:space="preserve">  住所　　　 =TRIM(MIDB(B2, 20, 45))</t>
    <phoneticPr fontId="1"/>
  </si>
  <si>
    <t xml:space="preserve">  部署CD　　 =TRIM(MIDB(C2, 11, 6))</t>
    <phoneticPr fontId="1"/>
  </si>
  <si>
    <t xml:space="preserve">  部署名　　 =TRIM(MIDB(C2, 18, 19))</t>
    <phoneticPr fontId="1"/>
  </si>
  <si>
    <t xml:space="preserve">  入社年月日 =TRIM(MIDB(C2, 37, 10))</t>
    <phoneticPr fontId="1"/>
  </si>
  <si>
    <t xml:space="preserve">  等級　　　 =TRIM(MIDB(C2, 48, 2))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</si>
</sst>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7ED8-A874-420C-82DE-85307DB17D88}">
  <dimension ref="A1:B128"/>
  <sheetViews>
    <sheetView tabSelected="1" workbookViewId="0">
      <selection activeCell="A8" sqref="A8:A128"/>
    </sheetView>
  </sheetViews>
  <sheetFormatPr defaultRowHeight="17.649999999999999" x14ac:dyDescent="0.7"/>
  <sheetData>
    <row r="1" spans="1:2" x14ac:dyDescent="0.7">
      <c r="B1" t="s">
        <v>0</v>
      </c>
    </row>
    <row r="2" spans="1:2" x14ac:dyDescent="0.7">
      <c r="B2" t="s">
        <v>1</v>
      </c>
    </row>
    <row r="3" spans="1:2" x14ac:dyDescent="0.7">
      <c r="B3" t="s">
        <v>0</v>
      </c>
    </row>
    <row r="4" spans="1:2" x14ac:dyDescent="0.7">
      <c r="B4" t="s">
        <v>2</v>
      </c>
    </row>
    <row r="5" spans="1:2" x14ac:dyDescent="0.7">
      <c r="B5" t="s">
        <v>3</v>
      </c>
    </row>
    <row r="6" spans="1:2" x14ac:dyDescent="0.7">
      <c r="B6" t="s">
        <v>4</v>
      </c>
    </row>
    <row r="7" spans="1:2" x14ac:dyDescent="0.7">
      <c r="B7" t="s">
        <v>5</v>
      </c>
    </row>
    <row r="8" spans="1:2" x14ac:dyDescent="0.7">
      <c r="A8" s="4">
        <f>IF(MIDB(B8,4,1)="-",ROW(B8),"")</f>
        <v>8</v>
      </c>
      <c r="B8" t="s">
        <v>6</v>
      </c>
    </row>
    <row r="9" spans="1:2" x14ac:dyDescent="0.7">
      <c r="A9" s="4" t="str">
        <f t="shared" ref="A9:A72" si="0">IF(MIDB(B9,4,1)="-",ROW(B9),"")</f>
        <v/>
      </c>
      <c r="B9" t="s">
        <v>7</v>
      </c>
    </row>
    <row r="10" spans="1:2" x14ac:dyDescent="0.7">
      <c r="A10" s="4" t="str">
        <f t="shared" si="0"/>
        <v/>
      </c>
      <c r="B10" t="s">
        <v>8</v>
      </c>
    </row>
    <row r="11" spans="1:2" x14ac:dyDescent="0.7">
      <c r="A11" s="4" t="str">
        <f t="shared" si="0"/>
        <v/>
      </c>
      <c r="B11" t="s">
        <v>5</v>
      </c>
    </row>
    <row r="12" spans="1:2" x14ac:dyDescent="0.7">
      <c r="A12" s="4">
        <f t="shared" si="0"/>
        <v>12</v>
      </c>
      <c r="B12" t="s">
        <v>9</v>
      </c>
    </row>
    <row r="13" spans="1:2" x14ac:dyDescent="0.7">
      <c r="A13" s="4" t="str">
        <f t="shared" si="0"/>
        <v/>
      </c>
      <c r="B13" t="s">
        <v>10</v>
      </c>
    </row>
    <row r="14" spans="1:2" x14ac:dyDescent="0.7">
      <c r="A14" s="4" t="str">
        <f t="shared" si="0"/>
        <v/>
      </c>
      <c r="B14" t="s">
        <v>11</v>
      </c>
    </row>
    <row r="15" spans="1:2" x14ac:dyDescent="0.7">
      <c r="A15" s="4" t="str">
        <f t="shared" si="0"/>
        <v/>
      </c>
      <c r="B15" t="s">
        <v>5</v>
      </c>
    </row>
    <row r="16" spans="1:2" x14ac:dyDescent="0.7">
      <c r="A16" s="4">
        <f t="shared" si="0"/>
        <v>16</v>
      </c>
      <c r="B16" t="s">
        <v>12</v>
      </c>
    </row>
    <row r="17" spans="1:2" x14ac:dyDescent="0.7">
      <c r="A17" s="4" t="str">
        <f t="shared" si="0"/>
        <v/>
      </c>
      <c r="B17" t="s">
        <v>13</v>
      </c>
    </row>
    <row r="18" spans="1:2" x14ac:dyDescent="0.7">
      <c r="A18" s="4" t="str">
        <f t="shared" si="0"/>
        <v/>
      </c>
      <c r="B18" t="s">
        <v>14</v>
      </c>
    </row>
    <row r="19" spans="1:2" x14ac:dyDescent="0.7">
      <c r="A19" s="4" t="str">
        <f t="shared" si="0"/>
        <v/>
      </c>
      <c r="B19" t="s">
        <v>5</v>
      </c>
    </row>
    <row r="20" spans="1:2" x14ac:dyDescent="0.7">
      <c r="A20" s="4">
        <f t="shared" si="0"/>
        <v>20</v>
      </c>
      <c r="B20" t="s">
        <v>15</v>
      </c>
    </row>
    <row r="21" spans="1:2" x14ac:dyDescent="0.7">
      <c r="A21" s="4" t="str">
        <f t="shared" si="0"/>
        <v/>
      </c>
      <c r="B21" t="s">
        <v>16</v>
      </c>
    </row>
    <row r="22" spans="1:2" x14ac:dyDescent="0.7">
      <c r="A22" s="4" t="str">
        <f t="shared" si="0"/>
        <v/>
      </c>
      <c r="B22" t="s">
        <v>17</v>
      </c>
    </row>
    <row r="23" spans="1:2" x14ac:dyDescent="0.7">
      <c r="A23" s="4" t="str">
        <f t="shared" si="0"/>
        <v/>
      </c>
      <c r="B23" t="s">
        <v>5</v>
      </c>
    </row>
    <row r="24" spans="1:2" x14ac:dyDescent="0.7">
      <c r="A24" s="4">
        <f t="shared" si="0"/>
        <v>24</v>
      </c>
      <c r="B24" t="s">
        <v>18</v>
      </c>
    </row>
    <row r="25" spans="1:2" x14ac:dyDescent="0.7">
      <c r="A25" s="4" t="str">
        <f t="shared" si="0"/>
        <v/>
      </c>
      <c r="B25" t="s">
        <v>19</v>
      </c>
    </row>
    <row r="26" spans="1:2" x14ac:dyDescent="0.7">
      <c r="A26" s="4" t="str">
        <f t="shared" si="0"/>
        <v/>
      </c>
      <c r="B26" t="s">
        <v>20</v>
      </c>
    </row>
    <row r="27" spans="1:2" x14ac:dyDescent="0.7">
      <c r="A27" s="4" t="str">
        <f t="shared" si="0"/>
        <v/>
      </c>
      <c r="B27" t="s">
        <v>5</v>
      </c>
    </row>
    <row r="28" spans="1:2" x14ac:dyDescent="0.7">
      <c r="A28" s="4" t="str">
        <f t="shared" si="0"/>
        <v/>
      </c>
      <c r="B28" t="s">
        <v>21</v>
      </c>
    </row>
    <row r="29" spans="1:2" x14ac:dyDescent="0.7">
      <c r="A29" s="4" t="str">
        <f t="shared" si="0"/>
        <v/>
      </c>
      <c r="B29" t="s">
        <v>0</v>
      </c>
    </row>
    <row r="30" spans="1:2" x14ac:dyDescent="0.7">
      <c r="A30" s="4" t="str">
        <f t="shared" si="0"/>
        <v/>
      </c>
      <c r="B30" t="s">
        <v>22</v>
      </c>
    </row>
    <row r="31" spans="1:2" x14ac:dyDescent="0.7">
      <c r="A31" s="4" t="str">
        <f t="shared" si="0"/>
        <v/>
      </c>
      <c r="B31" t="s">
        <v>0</v>
      </c>
    </row>
    <row r="32" spans="1:2" x14ac:dyDescent="0.7">
      <c r="A32" s="4" t="str">
        <f t="shared" si="0"/>
        <v/>
      </c>
      <c r="B32" t="s">
        <v>2</v>
      </c>
    </row>
    <row r="33" spans="1:2" x14ac:dyDescent="0.7">
      <c r="A33" s="4" t="str">
        <f t="shared" si="0"/>
        <v/>
      </c>
      <c r="B33" t="s">
        <v>3</v>
      </c>
    </row>
    <row r="34" spans="1:2" x14ac:dyDescent="0.7">
      <c r="A34" s="4" t="str">
        <f t="shared" si="0"/>
        <v/>
      </c>
      <c r="B34" t="s">
        <v>4</v>
      </c>
    </row>
    <row r="35" spans="1:2" x14ac:dyDescent="0.7">
      <c r="A35" s="4" t="str">
        <f t="shared" si="0"/>
        <v/>
      </c>
      <c r="B35" t="s">
        <v>5</v>
      </c>
    </row>
    <row r="36" spans="1:2" x14ac:dyDescent="0.7">
      <c r="A36" s="4">
        <f t="shared" si="0"/>
        <v>36</v>
      </c>
      <c r="B36" t="s">
        <v>23</v>
      </c>
    </row>
    <row r="37" spans="1:2" x14ac:dyDescent="0.7">
      <c r="A37" s="4" t="str">
        <f t="shared" si="0"/>
        <v/>
      </c>
      <c r="B37" t="s">
        <v>24</v>
      </c>
    </row>
    <row r="38" spans="1:2" x14ac:dyDescent="0.7">
      <c r="A38" s="4" t="str">
        <f t="shared" si="0"/>
        <v/>
      </c>
      <c r="B38" t="s">
        <v>25</v>
      </c>
    </row>
    <row r="39" spans="1:2" x14ac:dyDescent="0.7">
      <c r="A39" s="4" t="str">
        <f t="shared" si="0"/>
        <v/>
      </c>
      <c r="B39" t="s">
        <v>5</v>
      </c>
    </row>
    <row r="40" spans="1:2" x14ac:dyDescent="0.7">
      <c r="A40" s="4">
        <f t="shared" si="0"/>
        <v>40</v>
      </c>
      <c r="B40" t="s">
        <v>26</v>
      </c>
    </row>
    <row r="41" spans="1:2" x14ac:dyDescent="0.7">
      <c r="A41" s="4" t="str">
        <f t="shared" si="0"/>
        <v/>
      </c>
      <c r="B41" t="s">
        <v>27</v>
      </c>
    </row>
    <row r="42" spans="1:2" x14ac:dyDescent="0.7">
      <c r="A42" s="4" t="str">
        <f t="shared" si="0"/>
        <v/>
      </c>
      <c r="B42" t="s">
        <v>28</v>
      </c>
    </row>
    <row r="43" spans="1:2" x14ac:dyDescent="0.7">
      <c r="A43" s="4" t="str">
        <f t="shared" si="0"/>
        <v/>
      </c>
      <c r="B43" t="s">
        <v>5</v>
      </c>
    </row>
    <row r="44" spans="1:2" x14ac:dyDescent="0.7">
      <c r="A44" s="4">
        <f t="shared" si="0"/>
        <v>44</v>
      </c>
      <c r="B44" t="s">
        <v>29</v>
      </c>
    </row>
    <row r="45" spans="1:2" x14ac:dyDescent="0.7">
      <c r="A45" s="4" t="str">
        <f t="shared" si="0"/>
        <v/>
      </c>
      <c r="B45" t="s">
        <v>30</v>
      </c>
    </row>
    <row r="46" spans="1:2" x14ac:dyDescent="0.7">
      <c r="A46" s="4" t="str">
        <f t="shared" si="0"/>
        <v/>
      </c>
      <c r="B46" t="s">
        <v>31</v>
      </c>
    </row>
    <row r="47" spans="1:2" x14ac:dyDescent="0.7">
      <c r="A47" s="4" t="str">
        <f t="shared" si="0"/>
        <v/>
      </c>
      <c r="B47" t="s">
        <v>5</v>
      </c>
    </row>
    <row r="48" spans="1:2" x14ac:dyDescent="0.7">
      <c r="A48" s="4">
        <f t="shared" si="0"/>
        <v>48</v>
      </c>
      <c r="B48" t="s">
        <v>32</v>
      </c>
    </row>
    <row r="49" spans="1:2" x14ac:dyDescent="0.7">
      <c r="A49" s="4" t="str">
        <f t="shared" si="0"/>
        <v/>
      </c>
      <c r="B49" t="s">
        <v>33</v>
      </c>
    </row>
    <row r="50" spans="1:2" x14ac:dyDescent="0.7">
      <c r="A50" s="4" t="str">
        <f t="shared" si="0"/>
        <v/>
      </c>
      <c r="B50" t="s">
        <v>34</v>
      </c>
    </row>
    <row r="51" spans="1:2" x14ac:dyDescent="0.7">
      <c r="A51" s="4" t="str">
        <f t="shared" si="0"/>
        <v/>
      </c>
      <c r="B51" t="s">
        <v>5</v>
      </c>
    </row>
    <row r="52" spans="1:2" x14ac:dyDescent="0.7">
      <c r="A52" s="4" t="str">
        <f t="shared" si="0"/>
        <v/>
      </c>
      <c r="B52" t="s">
        <v>35</v>
      </c>
    </row>
    <row r="53" spans="1:2" x14ac:dyDescent="0.7">
      <c r="A53" s="4" t="str">
        <f t="shared" si="0"/>
        <v/>
      </c>
      <c r="B53" t="s">
        <v>0</v>
      </c>
    </row>
    <row r="54" spans="1:2" x14ac:dyDescent="0.7">
      <c r="A54" s="4" t="str">
        <f t="shared" si="0"/>
        <v/>
      </c>
      <c r="B54" t="s">
        <v>36</v>
      </c>
    </row>
    <row r="55" spans="1:2" x14ac:dyDescent="0.7">
      <c r="A55" s="4" t="str">
        <f t="shared" si="0"/>
        <v/>
      </c>
      <c r="B55" t="s">
        <v>0</v>
      </c>
    </row>
    <row r="56" spans="1:2" x14ac:dyDescent="0.7">
      <c r="A56" s="4" t="str">
        <f t="shared" si="0"/>
        <v/>
      </c>
      <c r="B56" t="s">
        <v>2</v>
      </c>
    </row>
    <row r="57" spans="1:2" x14ac:dyDescent="0.7">
      <c r="A57" s="4" t="str">
        <f t="shared" si="0"/>
        <v/>
      </c>
      <c r="B57" t="s">
        <v>3</v>
      </c>
    </row>
    <row r="58" spans="1:2" x14ac:dyDescent="0.7">
      <c r="A58" s="4" t="str">
        <f t="shared" si="0"/>
        <v/>
      </c>
      <c r="B58" t="s">
        <v>4</v>
      </c>
    </row>
    <row r="59" spans="1:2" x14ac:dyDescent="0.7">
      <c r="A59" s="4" t="str">
        <f t="shared" si="0"/>
        <v/>
      </c>
      <c r="B59" t="s">
        <v>5</v>
      </c>
    </row>
    <row r="60" spans="1:2" x14ac:dyDescent="0.7">
      <c r="A60" s="4">
        <f t="shared" si="0"/>
        <v>60</v>
      </c>
      <c r="B60" t="s">
        <v>37</v>
      </c>
    </row>
    <row r="61" spans="1:2" x14ac:dyDescent="0.7">
      <c r="A61" s="4" t="str">
        <f t="shared" si="0"/>
        <v/>
      </c>
      <c r="B61" t="s">
        <v>38</v>
      </c>
    </row>
    <row r="62" spans="1:2" x14ac:dyDescent="0.7">
      <c r="A62" s="4" t="str">
        <f t="shared" si="0"/>
        <v/>
      </c>
      <c r="B62" t="s">
        <v>39</v>
      </c>
    </row>
    <row r="63" spans="1:2" x14ac:dyDescent="0.7">
      <c r="A63" s="4" t="str">
        <f t="shared" si="0"/>
        <v/>
      </c>
      <c r="B63" t="s">
        <v>5</v>
      </c>
    </row>
    <row r="64" spans="1:2" x14ac:dyDescent="0.7">
      <c r="A64" s="4">
        <f t="shared" si="0"/>
        <v>64</v>
      </c>
      <c r="B64" t="s">
        <v>40</v>
      </c>
    </row>
    <row r="65" spans="1:2" x14ac:dyDescent="0.7">
      <c r="A65" s="4" t="str">
        <f t="shared" si="0"/>
        <v/>
      </c>
      <c r="B65" t="s">
        <v>41</v>
      </c>
    </row>
    <row r="66" spans="1:2" x14ac:dyDescent="0.7">
      <c r="A66" s="4" t="str">
        <f t="shared" si="0"/>
        <v/>
      </c>
      <c r="B66" t="s">
        <v>42</v>
      </c>
    </row>
    <row r="67" spans="1:2" x14ac:dyDescent="0.7">
      <c r="A67" s="4" t="str">
        <f t="shared" si="0"/>
        <v/>
      </c>
      <c r="B67" t="s">
        <v>5</v>
      </c>
    </row>
    <row r="68" spans="1:2" x14ac:dyDescent="0.7">
      <c r="A68" s="4">
        <f t="shared" si="0"/>
        <v>68</v>
      </c>
      <c r="B68" t="s">
        <v>43</v>
      </c>
    </row>
    <row r="69" spans="1:2" x14ac:dyDescent="0.7">
      <c r="A69" s="4" t="str">
        <f t="shared" si="0"/>
        <v/>
      </c>
      <c r="B69" t="s">
        <v>44</v>
      </c>
    </row>
    <row r="70" spans="1:2" x14ac:dyDescent="0.7">
      <c r="A70" s="4" t="str">
        <f t="shared" si="0"/>
        <v/>
      </c>
      <c r="B70" t="s">
        <v>45</v>
      </c>
    </row>
    <row r="71" spans="1:2" x14ac:dyDescent="0.7">
      <c r="A71" s="4" t="str">
        <f t="shared" si="0"/>
        <v/>
      </c>
      <c r="B71" t="s">
        <v>5</v>
      </c>
    </row>
    <row r="72" spans="1:2" x14ac:dyDescent="0.7">
      <c r="A72" s="4">
        <f t="shared" si="0"/>
        <v>72</v>
      </c>
      <c r="B72" t="s">
        <v>46</v>
      </c>
    </row>
    <row r="73" spans="1:2" x14ac:dyDescent="0.7">
      <c r="A73" s="4" t="str">
        <f t="shared" ref="A73:A128" si="1">IF(MIDB(B73,4,1)="-",ROW(B73),"")</f>
        <v/>
      </c>
      <c r="B73" t="s">
        <v>47</v>
      </c>
    </row>
    <row r="74" spans="1:2" x14ac:dyDescent="0.7">
      <c r="A74" s="4" t="str">
        <f t="shared" si="1"/>
        <v/>
      </c>
      <c r="B74" t="s">
        <v>48</v>
      </c>
    </row>
    <row r="75" spans="1:2" x14ac:dyDescent="0.7">
      <c r="A75" s="4" t="str">
        <f t="shared" si="1"/>
        <v/>
      </c>
      <c r="B75" t="s">
        <v>5</v>
      </c>
    </row>
    <row r="76" spans="1:2" x14ac:dyDescent="0.7">
      <c r="A76" s="4" t="str">
        <f t="shared" si="1"/>
        <v/>
      </c>
      <c r="B76" t="s">
        <v>49</v>
      </c>
    </row>
    <row r="77" spans="1:2" x14ac:dyDescent="0.7">
      <c r="A77" s="4" t="str">
        <f t="shared" si="1"/>
        <v/>
      </c>
      <c r="B77" t="s">
        <v>0</v>
      </c>
    </row>
    <row r="78" spans="1:2" x14ac:dyDescent="0.7">
      <c r="A78" s="4" t="str">
        <f t="shared" si="1"/>
        <v/>
      </c>
      <c r="B78" t="s">
        <v>50</v>
      </c>
    </row>
    <row r="79" spans="1:2" x14ac:dyDescent="0.7">
      <c r="A79" s="4" t="str">
        <f t="shared" si="1"/>
        <v/>
      </c>
      <c r="B79" t="s">
        <v>0</v>
      </c>
    </row>
    <row r="80" spans="1:2" x14ac:dyDescent="0.7">
      <c r="A80" s="4" t="str">
        <f t="shared" si="1"/>
        <v/>
      </c>
      <c r="B80" t="s">
        <v>2</v>
      </c>
    </row>
    <row r="81" spans="1:2" x14ac:dyDescent="0.7">
      <c r="A81" s="4" t="str">
        <f t="shared" si="1"/>
        <v/>
      </c>
      <c r="B81" t="s">
        <v>3</v>
      </c>
    </row>
    <row r="82" spans="1:2" x14ac:dyDescent="0.7">
      <c r="A82" s="4" t="str">
        <f t="shared" si="1"/>
        <v/>
      </c>
      <c r="B82" t="s">
        <v>4</v>
      </c>
    </row>
    <row r="83" spans="1:2" x14ac:dyDescent="0.7">
      <c r="A83" s="4" t="str">
        <f t="shared" si="1"/>
        <v/>
      </c>
      <c r="B83" t="s">
        <v>5</v>
      </c>
    </row>
    <row r="84" spans="1:2" x14ac:dyDescent="0.7">
      <c r="A84" s="4">
        <f t="shared" si="1"/>
        <v>84</v>
      </c>
      <c r="B84" t="s">
        <v>51</v>
      </c>
    </row>
    <row r="85" spans="1:2" x14ac:dyDescent="0.7">
      <c r="A85" s="4" t="str">
        <f t="shared" si="1"/>
        <v/>
      </c>
      <c r="B85" t="s">
        <v>52</v>
      </c>
    </row>
    <row r="86" spans="1:2" x14ac:dyDescent="0.7">
      <c r="A86" s="4" t="str">
        <f t="shared" si="1"/>
        <v/>
      </c>
      <c r="B86" t="s">
        <v>53</v>
      </c>
    </row>
    <row r="87" spans="1:2" x14ac:dyDescent="0.7">
      <c r="A87" s="4" t="str">
        <f t="shared" si="1"/>
        <v/>
      </c>
      <c r="B87" t="s">
        <v>5</v>
      </c>
    </row>
    <row r="88" spans="1:2" x14ac:dyDescent="0.7">
      <c r="A88" s="4">
        <f t="shared" si="1"/>
        <v>88</v>
      </c>
      <c r="B88" t="s">
        <v>54</v>
      </c>
    </row>
    <row r="89" spans="1:2" x14ac:dyDescent="0.7">
      <c r="A89" s="4" t="str">
        <f t="shared" si="1"/>
        <v/>
      </c>
      <c r="B89" t="s">
        <v>55</v>
      </c>
    </row>
    <row r="90" spans="1:2" x14ac:dyDescent="0.7">
      <c r="A90" s="4" t="str">
        <f t="shared" si="1"/>
        <v/>
      </c>
      <c r="B90" t="s">
        <v>56</v>
      </c>
    </row>
    <row r="91" spans="1:2" x14ac:dyDescent="0.7">
      <c r="A91" s="4" t="str">
        <f t="shared" si="1"/>
        <v/>
      </c>
      <c r="B91" t="s">
        <v>5</v>
      </c>
    </row>
    <row r="92" spans="1:2" x14ac:dyDescent="0.7">
      <c r="A92" s="4">
        <f t="shared" si="1"/>
        <v>92</v>
      </c>
      <c r="B92" t="s">
        <v>57</v>
      </c>
    </row>
    <row r="93" spans="1:2" x14ac:dyDescent="0.7">
      <c r="A93" s="4" t="str">
        <f t="shared" si="1"/>
        <v/>
      </c>
      <c r="B93" t="s">
        <v>58</v>
      </c>
    </row>
    <row r="94" spans="1:2" x14ac:dyDescent="0.7">
      <c r="A94" s="4" t="str">
        <f t="shared" si="1"/>
        <v/>
      </c>
      <c r="B94" t="s">
        <v>59</v>
      </c>
    </row>
    <row r="95" spans="1:2" x14ac:dyDescent="0.7">
      <c r="A95" s="4" t="str">
        <f t="shared" si="1"/>
        <v/>
      </c>
      <c r="B95" t="s">
        <v>5</v>
      </c>
    </row>
    <row r="96" spans="1:2" x14ac:dyDescent="0.7">
      <c r="A96" s="4">
        <f t="shared" si="1"/>
        <v>96</v>
      </c>
      <c r="B96" t="s">
        <v>60</v>
      </c>
    </row>
    <row r="97" spans="1:2" x14ac:dyDescent="0.7">
      <c r="A97" s="4" t="str">
        <f t="shared" si="1"/>
        <v/>
      </c>
      <c r="B97" t="s">
        <v>61</v>
      </c>
    </row>
    <row r="98" spans="1:2" x14ac:dyDescent="0.7">
      <c r="A98" s="4" t="str">
        <f t="shared" si="1"/>
        <v/>
      </c>
      <c r="B98" t="s">
        <v>62</v>
      </c>
    </row>
    <row r="99" spans="1:2" x14ac:dyDescent="0.7">
      <c r="A99" s="4" t="str">
        <f t="shared" si="1"/>
        <v/>
      </c>
      <c r="B99" t="s">
        <v>5</v>
      </c>
    </row>
    <row r="100" spans="1:2" x14ac:dyDescent="0.7">
      <c r="A100" s="4">
        <f t="shared" si="1"/>
        <v>100</v>
      </c>
      <c r="B100" t="s">
        <v>63</v>
      </c>
    </row>
    <row r="101" spans="1:2" x14ac:dyDescent="0.7">
      <c r="A101" s="4" t="str">
        <f t="shared" si="1"/>
        <v/>
      </c>
      <c r="B101" t="s">
        <v>64</v>
      </c>
    </row>
    <row r="102" spans="1:2" x14ac:dyDescent="0.7">
      <c r="A102" s="4" t="str">
        <f t="shared" si="1"/>
        <v/>
      </c>
      <c r="B102" t="s">
        <v>65</v>
      </c>
    </row>
    <row r="103" spans="1:2" x14ac:dyDescent="0.7">
      <c r="A103" s="4" t="str">
        <f t="shared" si="1"/>
        <v/>
      </c>
      <c r="B103" t="s">
        <v>5</v>
      </c>
    </row>
    <row r="104" spans="1:2" x14ac:dyDescent="0.7">
      <c r="A104" s="4" t="str">
        <f t="shared" si="1"/>
        <v/>
      </c>
      <c r="B104" t="s">
        <v>66</v>
      </c>
    </row>
    <row r="105" spans="1:2" x14ac:dyDescent="0.7">
      <c r="A105" s="4" t="str">
        <f t="shared" si="1"/>
        <v/>
      </c>
      <c r="B105" t="s">
        <v>0</v>
      </c>
    </row>
    <row r="106" spans="1:2" x14ac:dyDescent="0.7">
      <c r="A106" s="4" t="str">
        <f t="shared" si="1"/>
        <v/>
      </c>
      <c r="B106" t="s">
        <v>67</v>
      </c>
    </row>
    <row r="107" spans="1:2" x14ac:dyDescent="0.7">
      <c r="A107" s="4" t="str">
        <f t="shared" si="1"/>
        <v/>
      </c>
      <c r="B107" t="s">
        <v>0</v>
      </c>
    </row>
    <row r="108" spans="1:2" x14ac:dyDescent="0.7">
      <c r="A108" s="4" t="str">
        <f t="shared" si="1"/>
        <v/>
      </c>
      <c r="B108" t="s">
        <v>2</v>
      </c>
    </row>
    <row r="109" spans="1:2" x14ac:dyDescent="0.7">
      <c r="A109" s="4" t="str">
        <f t="shared" si="1"/>
        <v/>
      </c>
      <c r="B109" t="s">
        <v>3</v>
      </c>
    </row>
    <row r="110" spans="1:2" x14ac:dyDescent="0.7">
      <c r="A110" s="4" t="str">
        <f t="shared" si="1"/>
        <v/>
      </c>
      <c r="B110" t="s">
        <v>4</v>
      </c>
    </row>
    <row r="111" spans="1:2" x14ac:dyDescent="0.7">
      <c r="A111" s="4" t="str">
        <f t="shared" si="1"/>
        <v/>
      </c>
      <c r="B111" t="s">
        <v>5</v>
      </c>
    </row>
    <row r="112" spans="1:2" x14ac:dyDescent="0.7">
      <c r="A112" s="4">
        <f t="shared" si="1"/>
        <v>112</v>
      </c>
      <c r="B112" t="s">
        <v>68</v>
      </c>
    </row>
    <row r="113" spans="1:2" x14ac:dyDescent="0.7">
      <c r="A113" s="4" t="str">
        <f t="shared" si="1"/>
        <v/>
      </c>
      <c r="B113" t="s">
        <v>69</v>
      </c>
    </row>
    <row r="114" spans="1:2" x14ac:dyDescent="0.7">
      <c r="A114" s="4" t="str">
        <f t="shared" si="1"/>
        <v/>
      </c>
      <c r="B114" t="s">
        <v>70</v>
      </c>
    </row>
    <row r="115" spans="1:2" x14ac:dyDescent="0.7">
      <c r="A115" s="4" t="str">
        <f t="shared" si="1"/>
        <v/>
      </c>
      <c r="B115" t="s">
        <v>5</v>
      </c>
    </row>
    <row r="116" spans="1:2" x14ac:dyDescent="0.7">
      <c r="A116" s="4">
        <f t="shared" si="1"/>
        <v>116</v>
      </c>
      <c r="B116" t="s">
        <v>71</v>
      </c>
    </row>
    <row r="117" spans="1:2" x14ac:dyDescent="0.7">
      <c r="A117" s="4" t="str">
        <f t="shared" si="1"/>
        <v/>
      </c>
      <c r="B117" t="s">
        <v>72</v>
      </c>
    </row>
    <row r="118" spans="1:2" x14ac:dyDescent="0.7">
      <c r="A118" s="4" t="str">
        <f t="shared" si="1"/>
        <v/>
      </c>
      <c r="B118" t="s">
        <v>73</v>
      </c>
    </row>
    <row r="119" spans="1:2" x14ac:dyDescent="0.7">
      <c r="A119" s="4" t="str">
        <f t="shared" si="1"/>
        <v/>
      </c>
      <c r="B119" t="s">
        <v>5</v>
      </c>
    </row>
    <row r="120" spans="1:2" x14ac:dyDescent="0.7">
      <c r="A120" s="4">
        <f t="shared" si="1"/>
        <v>120</v>
      </c>
      <c r="B120" t="s">
        <v>74</v>
      </c>
    </row>
    <row r="121" spans="1:2" x14ac:dyDescent="0.7">
      <c r="A121" s="4" t="str">
        <f t="shared" si="1"/>
        <v/>
      </c>
      <c r="B121" t="s">
        <v>75</v>
      </c>
    </row>
    <row r="122" spans="1:2" x14ac:dyDescent="0.7">
      <c r="A122" s="4" t="str">
        <f t="shared" si="1"/>
        <v/>
      </c>
      <c r="B122" t="s">
        <v>76</v>
      </c>
    </row>
    <row r="123" spans="1:2" x14ac:dyDescent="0.7">
      <c r="A123" s="4" t="str">
        <f t="shared" si="1"/>
        <v/>
      </c>
      <c r="B123" t="s">
        <v>5</v>
      </c>
    </row>
    <row r="124" spans="1:2" x14ac:dyDescent="0.7">
      <c r="A124" s="4">
        <f t="shared" si="1"/>
        <v>124</v>
      </c>
      <c r="B124" t="s">
        <v>77</v>
      </c>
    </row>
    <row r="125" spans="1:2" x14ac:dyDescent="0.7">
      <c r="A125" s="4" t="str">
        <f t="shared" si="1"/>
        <v/>
      </c>
      <c r="B125" t="s">
        <v>78</v>
      </c>
    </row>
    <row r="126" spans="1:2" x14ac:dyDescent="0.7">
      <c r="A126" s="4" t="str">
        <f t="shared" si="1"/>
        <v/>
      </c>
      <c r="B126" t="s">
        <v>79</v>
      </c>
    </row>
    <row r="127" spans="1:2" x14ac:dyDescent="0.7">
      <c r="A127" s="4" t="str">
        <f t="shared" si="1"/>
        <v/>
      </c>
      <c r="B127" t="s">
        <v>5</v>
      </c>
    </row>
    <row r="128" spans="1:2" x14ac:dyDescent="0.7">
      <c r="A128" s="4" t="str">
        <f t="shared" si="1"/>
        <v/>
      </c>
      <c r="B128" t="s">
        <v>80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EECA-7526-4AA1-ADF0-EFA093A87B80}">
  <dimension ref="A1:N101"/>
  <sheetViews>
    <sheetView workbookViewId="0">
      <selection activeCell="C10" sqref="C10"/>
    </sheetView>
  </sheetViews>
  <sheetFormatPr defaultRowHeight="17.649999999999999" x14ac:dyDescent="0.7"/>
  <cols>
    <col min="1" max="1" width="23.625" customWidth="1"/>
    <col min="2" max="3" width="20.75" customWidth="1"/>
    <col min="5" max="5" width="10.875" bestFit="1" customWidth="1"/>
    <col min="6" max="6" width="20.125" customWidth="1"/>
    <col min="7" max="7" width="4.625" bestFit="1" customWidth="1"/>
    <col min="8" max="8" width="10.8125" bestFit="1" customWidth="1"/>
    <col min="10" max="10" width="34.9375" bestFit="1" customWidth="1"/>
    <col min="12" max="12" width="10.0625" bestFit="1" customWidth="1"/>
    <col min="13" max="13" width="10.8125" bestFit="1" customWidth="1"/>
  </cols>
  <sheetData>
    <row r="1" spans="1:14" x14ac:dyDescent="0.7">
      <c r="A1" s="1" t="s">
        <v>82</v>
      </c>
      <c r="B1" s="1" t="s">
        <v>83</v>
      </c>
      <c r="C1" s="1" t="s">
        <v>84</v>
      </c>
      <c r="D1" s="3" t="s">
        <v>81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7">
      <c r="A2" s="3" t="str" cm="1">
        <f t="array" ref="A2">IFERROR(INDEX(貼付シート!$B$1:$B$10000,SMALL(貼付シート!$A$1:$A$10000,D2)),"")</f>
        <v>EMP-00101 佐藤　一郎　　　　　 男　 1985/04/12</v>
      </c>
      <c r="B2" s="3" t="str" cm="1">
        <f t="array" ref="B2">IFERROR(INDEX(貼付シート!$B$1:$B$10000,SMALL(貼付シート!$A$1:$A$10000,D2)+1),"")</f>
        <v>　　　　　105-0001 東京都港区虎ノ門１丁目２－３　　　　　　　　</v>
      </c>
      <c r="C2" s="3" t="str" cm="1">
        <f t="array" ref="C2">IFERROR(INDEX(貼付シート!$B$1:$B$10000,SMALL(貼付シート!$A$1:$A$10000,D2)+2),"")</f>
        <v>　　　　　001000 総務部　　　　　　 2010/04/01 M2</v>
      </c>
      <c r="D2" s="1">
        <v>1</v>
      </c>
      <c r="E2" s="1" t="str">
        <f>MIDB(A2,1,9)</f>
        <v>EMP-00101</v>
      </c>
      <c r="F2" s="1" t="str">
        <f>TRIM(MIDB(A2,11,22))</f>
        <v>佐藤　一郎</v>
      </c>
      <c r="G2" s="1" t="str">
        <f>MIDB(A2,32,2)</f>
        <v>男</v>
      </c>
      <c r="H2" s="1" t="str">
        <f>MIDB(A2,37,10)</f>
        <v>1985/04/12</v>
      </c>
      <c r="I2" s="1" t="str">
        <f>MIDB(B2,11,8)</f>
        <v>105-0001</v>
      </c>
      <c r="J2" s="1" t="str">
        <f>TRIM(MIDB(B2,20,45))</f>
        <v>東京都港区虎ノ門１丁目２－３</v>
      </c>
      <c r="K2" s="1" t="str">
        <f>MIDB(C2,11,6)</f>
        <v>001000</v>
      </c>
      <c r="L2" s="1" t="str">
        <f>TRIM(MIDB(C2,18,19))</f>
        <v>総務部</v>
      </c>
      <c r="M2" s="2">
        <f>IF(A2="","",DATEVALUE(MIDB(C2,37,10)))</f>
        <v>40269</v>
      </c>
      <c r="N2" s="1" t="str">
        <f>MIDB(C2,48,2)</f>
        <v>M2</v>
      </c>
    </row>
    <row r="3" spans="1:14" x14ac:dyDescent="0.7">
      <c r="A3" s="3" t="str" cm="1">
        <f t="array" ref="A3">IFERROR(INDEX(貼付シート!$B$1:$B$10000,SMALL(貼付シート!$A$1:$A$10000,D3)),"")</f>
        <v>EMP-00102 鈴木　花子　　　　　 女　 1990/08/23</v>
      </c>
      <c r="B3" s="3" t="str" cm="1">
        <f t="array" ref="B3">IFERROR(INDEX(貼付シート!$B$1:$B$10000,SMALL(貼付シート!$A$1:$A$10000,D3)+1),"")</f>
        <v>　　　　　150-0002 東京都渋谷区渋谷２丁目５－８　　　　　　　　</v>
      </c>
      <c r="C3" s="3" t="str" cm="1">
        <f t="array" ref="C3">IFERROR(INDEX(貼付シート!$B$1:$B$10000,SMALL(貼付シート!$A$1:$A$10000,D3)+2),"")</f>
        <v>　　　　　001000 総務部　　　　　　 2013/04/01 M1</v>
      </c>
      <c r="D3" s="1">
        <v>2</v>
      </c>
      <c r="E3" s="1" t="str">
        <f t="shared" ref="E3:E66" si="0">MIDB(A3,1,9)</f>
        <v>EMP-00102</v>
      </c>
      <c r="F3" s="1" t="str">
        <f t="shared" ref="F3:F66" si="1">TRIM(MIDB(A3,11,22))</f>
        <v>鈴木　花子</v>
      </c>
      <c r="G3" s="1" t="str">
        <f t="shared" ref="G3:G66" si="2">MIDB(A3,32,2)</f>
        <v>女</v>
      </c>
      <c r="H3" s="1" t="str">
        <f t="shared" ref="H3:H66" si="3">MIDB(A3,37,10)</f>
        <v>1990/08/23</v>
      </c>
      <c r="I3" s="1" t="str">
        <f t="shared" ref="I3:I66" si="4">MIDB(B3,11,8)</f>
        <v>150-0002</v>
      </c>
      <c r="J3" s="1" t="str">
        <f t="shared" ref="J3:J66" si="5">TRIM(MIDB(B3,20,45))</f>
        <v>東京都渋谷区渋谷２丁目５－８</v>
      </c>
      <c r="K3" s="1" t="str">
        <f t="shared" ref="K3:K66" si="6">MIDB(C3,11,6)</f>
        <v>001000</v>
      </c>
      <c r="L3" s="1" t="str">
        <f t="shared" ref="L3:L66" si="7">TRIM(MIDB(C3,18,19))</f>
        <v>総務部</v>
      </c>
      <c r="M3" s="2">
        <f t="shared" ref="M3:M66" si="8">IF(A3="","",DATEVALUE(MIDB(C3,37,10)))</f>
        <v>41365</v>
      </c>
      <c r="N3" s="1" t="str">
        <f t="shared" ref="N3:N66" si="9">MIDB(C3,48,2)</f>
        <v>M1</v>
      </c>
    </row>
    <row r="4" spans="1:14" x14ac:dyDescent="0.7">
      <c r="A4" s="3" t="str" cm="1">
        <f t="array" ref="A4">IFERROR(INDEX(貼付シート!$B$1:$B$10000,SMALL(貼付シート!$A$1:$A$10000,D4)),"")</f>
        <v>EMP-00103 高橋　健太　　　　　 男　 1988/01/15</v>
      </c>
      <c r="B4" s="3" t="str" cm="1">
        <f t="array" ref="B4">IFERROR(INDEX(貼付シート!$B$1:$B$10000,SMALL(貼付シート!$A$1:$A$10000,D4)+1),"")</f>
        <v>　　　　　160-0023 東京都新宿区西新宿３丁目７－１　　　　　　　</v>
      </c>
      <c r="C4" s="3" t="str" cm="1">
        <f t="array" ref="C4">IFERROR(INDEX(貼付シート!$B$1:$B$10000,SMALL(貼付シート!$A$1:$A$10000,D4)+2),"")</f>
        <v>　　　　　001000 総務部　　　　　　 2011/10/01 M2</v>
      </c>
      <c r="D4" s="1">
        <v>3</v>
      </c>
      <c r="E4" s="1" t="str">
        <f t="shared" si="0"/>
        <v>EMP-00103</v>
      </c>
      <c r="F4" s="1" t="str">
        <f t="shared" si="1"/>
        <v>高橋　健太</v>
      </c>
      <c r="G4" s="1" t="str">
        <f t="shared" si="2"/>
        <v>男</v>
      </c>
      <c r="H4" s="1" t="str">
        <f t="shared" si="3"/>
        <v>1988/01/15</v>
      </c>
      <c r="I4" s="1" t="str">
        <f t="shared" si="4"/>
        <v>160-0023</v>
      </c>
      <c r="J4" s="1" t="str">
        <f t="shared" si="5"/>
        <v>東京都新宿区西新宿３丁目７－１</v>
      </c>
      <c r="K4" s="1" t="str">
        <f t="shared" si="6"/>
        <v>001000</v>
      </c>
      <c r="L4" s="1" t="str">
        <f t="shared" si="7"/>
        <v>総務部</v>
      </c>
      <c r="M4" s="2">
        <f t="shared" si="8"/>
        <v>40817</v>
      </c>
      <c r="N4" s="1" t="str">
        <f t="shared" si="9"/>
        <v>M2</v>
      </c>
    </row>
    <row r="5" spans="1:14" x14ac:dyDescent="0.7">
      <c r="A5" s="3" t="str" cm="1">
        <f t="array" ref="A5">IFERROR(INDEX(貼付シート!$B$1:$B$10000,SMALL(貼付シート!$A$1:$A$10000,D5)),"")</f>
        <v>EMP-00104 渡辺　美咲　　　　　 女　 1992/11/30</v>
      </c>
      <c r="B5" s="3" t="str" cm="1">
        <f t="array" ref="B5">IFERROR(INDEX(貼付シート!$B$1:$B$10000,SMALL(貼付シート!$A$1:$A$10000,D5)+1),"")</f>
        <v>　　　　　108-0075 東京都港区港南４丁目１－６　　　　　　　　　</v>
      </c>
      <c r="C5" s="3" t="str" cm="1">
        <f t="array" ref="C5">IFERROR(INDEX(貼付シート!$B$1:$B$10000,SMALL(貼付シート!$A$1:$A$10000,D5)+2),"")</f>
        <v>　　　　　001000 総務部　　　　　　 2015/04/01 S3</v>
      </c>
      <c r="D5" s="1">
        <v>4</v>
      </c>
      <c r="E5" s="1" t="str">
        <f t="shared" si="0"/>
        <v>EMP-00104</v>
      </c>
      <c r="F5" s="1" t="str">
        <f t="shared" si="1"/>
        <v>渡辺　美咲</v>
      </c>
      <c r="G5" s="1" t="str">
        <f t="shared" si="2"/>
        <v>女</v>
      </c>
      <c r="H5" s="1" t="str">
        <f t="shared" si="3"/>
        <v>1992/11/30</v>
      </c>
      <c r="I5" s="1" t="str">
        <f t="shared" si="4"/>
        <v>108-0075</v>
      </c>
      <c r="J5" s="1" t="str">
        <f t="shared" si="5"/>
        <v>東京都港区港南４丁目１－６</v>
      </c>
      <c r="K5" s="1" t="str">
        <f t="shared" si="6"/>
        <v>001000</v>
      </c>
      <c r="L5" s="1" t="str">
        <f t="shared" si="7"/>
        <v>総務部</v>
      </c>
      <c r="M5" s="2">
        <f t="shared" si="8"/>
        <v>42095</v>
      </c>
      <c r="N5" s="1" t="str">
        <f t="shared" si="9"/>
        <v>S3</v>
      </c>
    </row>
    <row r="6" spans="1:14" x14ac:dyDescent="0.7">
      <c r="A6" s="3" t="str" cm="1">
        <f t="array" ref="A6">IFERROR(INDEX(貼付シート!$B$1:$B$10000,SMALL(貼付シート!$A$1:$A$10000,D6)),"")</f>
        <v>EMP-00105 伊藤　大輔　　　　　 男　 1983/06/08</v>
      </c>
      <c r="B6" s="3" t="str" cm="1">
        <f t="array" ref="B6">IFERROR(INDEX(貼付シート!$B$1:$B$10000,SMALL(貼付シート!$A$1:$A$10000,D6)+1),"")</f>
        <v>　　　　　141-0032 東京都品川区大崎５丁目３－２　　　　　　　　</v>
      </c>
      <c r="C6" s="3" t="str" cm="1">
        <f t="array" ref="C6">IFERROR(INDEX(貼付シート!$B$1:$B$10000,SMALL(貼付シート!$A$1:$A$10000,D6)+2),"")</f>
        <v>　　　　　001000 総務部　　　　　　 2008/04/01 M3</v>
      </c>
      <c r="D6" s="1">
        <v>5</v>
      </c>
      <c r="E6" s="1" t="str">
        <f t="shared" si="0"/>
        <v>EMP-00105</v>
      </c>
      <c r="F6" s="1" t="str">
        <f t="shared" si="1"/>
        <v>伊藤　大輔</v>
      </c>
      <c r="G6" s="1" t="str">
        <f t="shared" si="2"/>
        <v>男</v>
      </c>
      <c r="H6" s="1" t="str">
        <f t="shared" si="3"/>
        <v>1983/06/08</v>
      </c>
      <c r="I6" s="1" t="str">
        <f t="shared" si="4"/>
        <v>141-0032</v>
      </c>
      <c r="J6" s="1" t="str">
        <f t="shared" si="5"/>
        <v>東京都品川区大崎５丁目３－２</v>
      </c>
      <c r="K6" s="1" t="str">
        <f t="shared" si="6"/>
        <v>001000</v>
      </c>
      <c r="L6" s="1" t="str">
        <f t="shared" si="7"/>
        <v>総務部</v>
      </c>
      <c r="M6" s="2">
        <f t="shared" si="8"/>
        <v>39539</v>
      </c>
      <c r="N6" s="1" t="str">
        <f t="shared" si="9"/>
        <v>M3</v>
      </c>
    </row>
    <row r="7" spans="1:14" x14ac:dyDescent="0.7">
      <c r="A7" s="3" t="str" cm="1">
        <f t="array" ref="A7">IFERROR(INDEX(貼付シート!$B$1:$B$10000,SMALL(貼付シート!$A$1:$A$10000,D7)),"")</f>
        <v>EMP-00201 中村　翔太　　　　　 男　 1987/03/20</v>
      </c>
      <c r="B7" s="3" t="str" cm="1">
        <f t="array" ref="B7">IFERROR(INDEX(貼付シート!$B$1:$B$10000,SMALL(貼付シート!$A$1:$A$10000,D7)+1),"")</f>
        <v>　　　　　170-0013 東京都豊島区東池袋１丁目４－５　　　　　　　</v>
      </c>
      <c r="C7" s="3" t="str" cm="1">
        <f t="array" ref="C7">IFERROR(INDEX(貼付シート!$B$1:$B$10000,SMALL(貼付シート!$A$1:$A$10000,D7)+2),"")</f>
        <v>　　　　　002000 営業第一課　　　　 2010/04/01 M2</v>
      </c>
      <c r="D7" s="1">
        <v>6</v>
      </c>
      <c r="E7" s="1" t="str">
        <f t="shared" si="0"/>
        <v>EMP-00201</v>
      </c>
      <c r="F7" s="1" t="str">
        <f t="shared" si="1"/>
        <v>中村　翔太</v>
      </c>
      <c r="G7" s="1" t="str">
        <f t="shared" si="2"/>
        <v>男</v>
      </c>
      <c r="H7" s="1" t="str">
        <f t="shared" si="3"/>
        <v>1987/03/20</v>
      </c>
      <c r="I7" s="1" t="str">
        <f t="shared" si="4"/>
        <v>170-0013</v>
      </c>
      <c r="J7" s="1" t="str">
        <f t="shared" si="5"/>
        <v>東京都豊島区東池袋１丁目４－５</v>
      </c>
      <c r="K7" s="1" t="str">
        <f t="shared" si="6"/>
        <v>002000</v>
      </c>
      <c r="L7" s="1" t="str">
        <f t="shared" si="7"/>
        <v>営業第一課</v>
      </c>
      <c r="M7" s="2">
        <f t="shared" si="8"/>
        <v>40269</v>
      </c>
      <c r="N7" s="1" t="str">
        <f t="shared" si="9"/>
        <v>M2</v>
      </c>
    </row>
    <row r="8" spans="1:14" x14ac:dyDescent="0.7">
      <c r="A8" s="3" t="str" cm="1">
        <f t="array" ref="A8">IFERROR(INDEX(貼付シート!$B$1:$B$10000,SMALL(貼付シート!$A$1:$A$10000,D8)),"")</f>
        <v>EMP-00202 小林　真由美　　　　 女　 1991/07/14</v>
      </c>
      <c r="B8" s="3" t="str" cm="1">
        <f t="array" ref="B8">IFERROR(INDEX(貼付シート!$B$1:$B$10000,SMALL(貼付シート!$A$1:$A$10000,D8)+1),"")</f>
        <v>　　　　　114-0002 東京都北区王子２丁目８－３　　　　　　　　　</v>
      </c>
      <c r="C8" s="3" t="str" cm="1">
        <f t="array" ref="C8">IFERROR(INDEX(貼付シート!$B$1:$B$10000,SMALL(貼付シート!$A$1:$A$10000,D8)+2),"")</f>
        <v>　　　　　002000 営業第一課　　　　 2014/04/01 M1</v>
      </c>
      <c r="D8" s="1">
        <v>7</v>
      </c>
      <c r="E8" s="1" t="str">
        <f t="shared" si="0"/>
        <v>EMP-00202</v>
      </c>
      <c r="F8" s="1" t="str">
        <f t="shared" si="1"/>
        <v>小林　真由美</v>
      </c>
      <c r="G8" s="1" t="str">
        <f t="shared" si="2"/>
        <v>女</v>
      </c>
      <c r="H8" s="1" t="str">
        <f t="shared" si="3"/>
        <v>1991/07/14</v>
      </c>
      <c r="I8" s="1" t="str">
        <f t="shared" si="4"/>
        <v>114-0002</v>
      </c>
      <c r="J8" s="1" t="str">
        <f t="shared" si="5"/>
        <v>東京都北区王子２丁目８－３</v>
      </c>
      <c r="K8" s="1" t="str">
        <f t="shared" si="6"/>
        <v>002000</v>
      </c>
      <c r="L8" s="1" t="str">
        <f t="shared" si="7"/>
        <v>営業第一課</v>
      </c>
      <c r="M8" s="2">
        <f t="shared" si="8"/>
        <v>41730</v>
      </c>
      <c r="N8" s="1" t="str">
        <f t="shared" si="9"/>
        <v>M1</v>
      </c>
    </row>
    <row r="9" spans="1:14" x14ac:dyDescent="0.7">
      <c r="A9" s="3" t="str" cm="1">
        <f t="array" ref="A9">IFERROR(INDEX(貼付シート!$B$1:$B$10000,SMALL(貼付シート!$A$1:$A$10000,D9)),"")</f>
        <v>EMP-00203 松本　裕也　　　　　 男　 1986/12/01</v>
      </c>
      <c r="B9" s="3" t="str" cm="1">
        <f t="array" ref="B9">IFERROR(INDEX(貼付シート!$B$1:$B$10000,SMALL(貼付シート!$A$1:$A$10000,D9)+1),"")</f>
        <v>　　　　　116-0013 東京都荒川区西日暮里３丁目６－７　　　　　　</v>
      </c>
      <c r="C9" s="3" t="str" cm="1">
        <f t="array" ref="C9">IFERROR(INDEX(貼付シート!$B$1:$B$10000,SMALL(貼付シート!$A$1:$A$10000,D9)+2),"")</f>
        <v>　　　　　002000 営業第一課　　　　 2009/07/01 M3</v>
      </c>
      <c r="D9" s="1">
        <v>8</v>
      </c>
      <c r="E9" s="1" t="str">
        <f t="shared" si="0"/>
        <v>EMP-00203</v>
      </c>
      <c r="F9" s="1" t="str">
        <f t="shared" si="1"/>
        <v>松本　裕也</v>
      </c>
      <c r="G9" s="1" t="str">
        <f t="shared" si="2"/>
        <v>男</v>
      </c>
      <c r="H9" s="1" t="str">
        <f t="shared" si="3"/>
        <v>1986/12/01</v>
      </c>
      <c r="I9" s="1" t="str">
        <f t="shared" si="4"/>
        <v>116-0013</v>
      </c>
      <c r="J9" s="1" t="str">
        <f t="shared" si="5"/>
        <v>東京都荒川区西日暮里３丁目６－７</v>
      </c>
      <c r="K9" s="1" t="str">
        <f t="shared" si="6"/>
        <v>002000</v>
      </c>
      <c r="L9" s="1" t="str">
        <f t="shared" si="7"/>
        <v>営業第一課</v>
      </c>
      <c r="M9" s="2">
        <f t="shared" si="8"/>
        <v>39995</v>
      </c>
      <c r="N9" s="1" t="str">
        <f t="shared" si="9"/>
        <v>M3</v>
      </c>
    </row>
    <row r="10" spans="1:14" x14ac:dyDescent="0.7">
      <c r="A10" s="3" t="str" cm="1">
        <f t="array" ref="A10">IFERROR(INDEX(貼付シート!$B$1:$B$10000,SMALL(貼付シート!$A$1:$A$10000,D10)),"")</f>
        <v>EMP-00204 吉田　あかり　　　　 女　 1993/05/28</v>
      </c>
      <c r="B10" s="3" t="str" cm="1">
        <f t="array" ref="B10">IFERROR(INDEX(貼付シート!$B$1:$B$10000,SMALL(貼付シート!$A$1:$A$10000,D10)+1),"")</f>
        <v>　　　　　120-0034 東京都足立区千住１丁目２－９　　　　　　　　</v>
      </c>
      <c r="C10" s="3" t="str" cm="1">
        <f t="array" ref="C10">IFERROR(INDEX(貼付シート!$B$1:$B$10000,SMALL(貼付シート!$A$1:$A$10000,D10)+2),"")</f>
        <v>　　　　　002000 営業第一課　　　　 2016/04/01 S3</v>
      </c>
      <c r="D10" s="1">
        <v>9</v>
      </c>
      <c r="E10" s="1" t="str">
        <f t="shared" si="0"/>
        <v>EMP-00204</v>
      </c>
      <c r="F10" s="1" t="str">
        <f t="shared" si="1"/>
        <v>吉田　あかり</v>
      </c>
      <c r="G10" s="1" t="str">
        <f t="shared" si="2"/>
        <v>女</v>
      </c>
      <c r="H10" s="1" t="str">
        <f t="shared" si="3"/>
        <v>1993/05/28</v>
      </c>
      <c r="I10" s="1" t="str">
        <f t="shared" si="4"/>
        <v>120-0034</v>
      </c>
      <c r="J10" s="1" t="str">
        <f t="shared" si="5"/>
        <v>東京都足立区千住１丁目２－９</v>
      </c>
      <c r="K10" s="1" t="str">
        <f t="shared" si="6"/>
        <v>002000</v>
      </c>
      <c r="L10" s="1" t="str">
        <f t="shared" si="7"/>
        <v>営業第一課</v>
      </c>
      <c r="M10" s="2">
        <f t="shared" si="8"/>
        <v>42461</v>
      </c>
      <c r="N10" s="1" t="str">
        <f t="shared" si="9"/>
        <v>S3</v>
      </c>
    </row>
    <row r="11" spans="1:14" x14ac:dyDescent="0.7">
      <c r="A11" s="3" t="str" cm="1">
        <f t="array" ref="A11">IFERROR(INDEX(貼付シート!$B$1:$B$10000,SMALL(貼付シート!$A$1:$A$10000,D11)),"")</f>
        <v>EMP-00301 山本　拓海　　　　　 男　 1989/09/10</v>
      </c>
      <c r="B11" s="3" t="str" cm="1">
        <f t="array" ref="B11">IFERROR(INDEX(貼付シート!$B$1:$B$10000,SMALL(貼付シート!$A$1:$A$10000,D11)+1),"")</f>
        <v>　　　　　132-0035 東京都江戸川区平井３丁目５－１　　　　　　　</v>
      </c>
      <c r="C11" s="3" t="str" cm="1">
        <f t="array" ref="C11">IFERROR(INDEX(貼付シート!$B$1:$B$10000,SMALL(貼付シート!$A$1:$A$10000,D11)+2),"")</f>
        <v>　　　　　003000 営業第二課　　　　 2012/04/01 M2</v>
      </c>
      <c r="D11" s="1">
        <v>10</v>
      </c>
      <c r="E11" s="1" t="str">
        <f t="shared" si="0"/>
        <v>EMP-00301</v>
      </c>
      <c r="F11" s="1" t="str">
        <f t="shared" si="1"/>
        <v>山本　拓海</v>
      </c>
      <c r="G11" s="1" t="str">
        <f t="shared" si="2"/>
        <v>男</v>
      </c>
      <c r="H11" s="1" t="str">
        <f t="shared" si="3"/>
        <v>1989/09/10</v>
      </c>
      <c r="I11" s="1" t="str">
        <f t="shared" si="4"/>
        <v>132-0035</v>
      </c>
      <c r="J11" s="1" t="str">
        <f t="shared" si="5"/>
        <v>東京都江戸川区平井３丁目５－１</v>
      </c>
      <c r="K11" s="1" t="str">
        <f t="shared" si="6"/>
        <v>003000</v>
      </c>
      <c r="L11" s="1" t="str">
        <f t="shared" si="7"/>
        <v>営業第二課</v>
      </c>
      <c r="M11" s="2">
        <f t="shared" si="8"/>
        <v>41000</v>
      </c>
      <c r="N11" s="1" t="str">
        <f t="shared" si="9"/>
        <v>M2</v>
      </c>
    </row>
    <row r="12" spans="1:14" x14ac:dyDescent="0.7">
      <c r="A12" s="3" t="str" cm="1">
        <f t="array" ref="A12">IFERROR(INDEX(貼付シート!$B$1:$B$10000,SMALL(貼付シート!$A$1:$A$10000,D12)),"")</f>
        <v>EMP-00302 井上　さくら　　　　 女　 1994/02/17</v>
      </c>
      <c r="B12" s="3" t="str" cm="1">
        <f t="array" ref="B12">IFERROR(INDEX(貼付シート!$B$1:$B$10000,SMALL(貼付シート!$A$1:$A$10000,D12)+1),"")</f>
        <v>　　　　　125-0061 東京都葛飾区亀有２丁目７－４　　　　　　　　</v>
      </c>
      <c r="C12" s="3" t="str" cm="1">
        <f t="array" ref="C12">IFERROR(INDEX(貼付シート!$B$1:$B$10000,SMALL(貼付シート!$A$1:$A$10000,D12)+2),"")</f>
        <v>　　　　　003000 営業第二課　　　　 2017/04/01 S2</v>
      </c>
      <c r="D12" s="1">
        <v>11</v>
      </c>
      <c r="E12" s="1" t="str">
        <f t="shared" si="0"/>
        <v>EMP-00302</v>
      </c>
      <c r="F12" s="1" t="str">
        <f t="shared" si="1"/>
        <v>井上　さくら</v>
      </c>
      <c r="G12" s="1" t="str">
        <f t="shared" si="2"/>
        <v>女</v>
      </c>
      <c r="H12" s="1" t="str">
        <f t="shared" si="3"/>
        <v>1994/02/17</v>
      </c>
      <c r="I12" s="1" t="str">
        <f t="shared" si="4"/>
        <v>125-0061</v>
      </c>
      <c r="J12" s="1" t="str">
        <f t="shared" si="5"/>
        <v>東京都葛飾区亀有２丁目７－４</v>
      </c>
      <c r="K12" s="1" t="str">
        <f t="shared" si="6"/>
        <v>003000</v>
      </c>
      <c r="L12" s="1" t="str">
        <f t="shared" si="7"/>
        <v>営業第二課</v>
      </c>
      <c r="M12" s="2">
        <f t="shared" si="8"/>
        <v>42826</v>
      </c>
      <c r="N12" s="1" t="str">
        <f t="shared" si="9"/>
        <v>S2</v>
      </c>
    </row>
    <row r="13" spans="1:14" x14ac:dyDescent="0.7">
      <c r="A13" s="3" t="str" cm="1">
        <f t="array" ref="A13">IFERROR(INDEX(貼付シート!$B$1:$B$10000,SMALL(貼付シート!$A$1:$A$10000,D13)),"")</f>
        <v>EMP-00303 木村　蓮　　　　　　 男　 1984/10/05</v>
      </c>
      <c r="B13" s="3" t="str" cm="1">
        <f t="array" ref="B13">IFERROR(INDEX(貼付シート!$B$1:$B$10000,SMALL(貼付シート!$A$1:$A$10000,D13)+1),"")</f>
        <v>　　　　　136-0076 東京都江東区南砂４丁目１－８　　　　　　　　</v>
      </c>
      <c r="C13" s="3" t="str" cm="1">
        <f t="array" ref="C13">IFERROR(INDEX(貼付シート!$B$1:$B$10000,SMALL(貼付シート!$A$1:$A$10000,D13)+2),"")</f>
        <v>　　　　　003000 営業第二課　　　　 2007/04/01 M3</v>
      </c>
      <c r="D13" s="1">
        <v>12</v>
      </c>
      <c r="E13" s="1" t="str">
        <f t="shared" si="0"/>
        <v>EMP-00303</v>
      </c>
      <c r="F13" s="1" t="str">
        <f t="shared" si="1"/>
        <v>木村　蓮</v>
      </c>
      <c r="G13" s="1" t="str">
        <f t="shared" si="2"/>
        <v>男</v>
      </c>
      <c r="H13" s="1" t="str">
        <f t="shared" si="3"/>
        <v>1984/10/05</v>
      </c>
      <c r="I13" s="1" t="str">
        <f t="shared" si="4"/>
        <v>136-0076</v>
      </c>
      <c r="J13" s="1" t="str">
        <f t="shared" si="5"/>
        <v>東京都江東区南砂４丁目１－８</v>
      </c>
      <c r="K13" s="1" t="str">
        <f t="shared" si="6"/>
        <v>003000</v>
      </c>
      <c r="L13" s="1" t="str">
        <f t="shared" si="7"/>
        <v>営業第二課</v>
      </c>
      <c r="M13" s="2">
        <f t="shared" si="8"/>
        <v>39173</v>
      </c>
      <c r="N13" s="1" t="str">
        <f t="shared" si="9"/>
        <v>M3</v>
      </c>
    </row>
    <row r="14" spans="1:14" x14ac:dyDescent="0.7">
      <c r="A14" s="3" t="str" cm="1">
        <f t="array" ref="A14">IFERROR(INDEX(貼付シート!$B$1:$B$10000,SMALL(貼付シート!$A$1:$A$10000,D14)),"")</f>
        <v>EMP-00304 林　　奈々子　　　　 女　 1995/08/22</v>
      </c>
      <c r="B14" s="3" t="str" cm="1">
        <f t="array" ref="B14">IFERROR(INDEX(貼付シート!$B$1:$B$10000,SMALL(貼付シート!$A$1:$A$10000,D14)+1),"")</f>
        <v>　　　　　131-0045 東京都墨田区押上２丁目３－６　　　　　　　　</v>
      </c>
      <c r="C14" s="3" t="str" cm="1">
        <f t="array" ref="C14">IFERROR(INDEX(貼付シート!$B$1:$B$10000,SMALL(貼付シート!$A$1:$A$10000,D14)+2),"")</f>
        <v>　　　　　003000 営業第二課　　　　 2018/04/01 S2</v>
      </c>
      <c r="D14" s="1">
        <v>13</v>
      </c>
      <c r="E14" s="1" t="str">
        <f t="shared" si="0"/>
        <v>EMP-00304</v>
      </c>
      <c r="F14" s="1" t="str">
        <f t="shared" si="1"/>
        <v>林　奈々子</v>
      </c>
      <c r="G14" s="1" t="str">
        <f t="shared" si="2"/>
        <v>女</v>
      </c>
      <c r="H14" s="1" t="str">
        <f t="shared" si="3"/>
        <v>1995/08/22</v>
      </c>
      <c r="I14" s="1" t="str">
        <f t="shared" si="4"/>
        <v>131-0045</v>
      </c>
      <c r="J14" s="1" t="str">
        <f t="shared" si="5"/>
        <v>東京都墨田区押上２丁目３－６</v>
      </c>
      <c r="K14" s="1" t="str">
        <f t="shared" si="6"/>
        <v>003000</v>
      </c>
      <c r="L14" s="1" t="str">
        <f t="shared" si="7"/>
        <v>営業第二課</v>
      </c>
      <c r="M14" s="2">
        <f t="shared" si="8"/>
        <v>43191</v>
      </c>
      <c r="N14" s="1" t="str">
        <f t="shared" si="9"/>
        <v>S2</v>
      </c>
    </row>
    <row r="15" spans="1:14" x14ac:dyDescent="0.7">
      <c r="A15" s="3" t="str" cm="1">
        <f t="array" ref="A15">IFERROR(INDEX(貼付シート!$B$1:$B$10000,SMALL(貼付シート!$A$1:$A$10000,D15)),"")</f>
        <v>EMP-00401 加藤　雄大　　　　　 男　 1982/07/03</v>
      </c>
      <c r="B15" s="3" t="str" cm="1">
        <f t="array" ref="B15">IFERROR(INDEX(貼付シート!$B$1:$B$10000,SMALL(貼付シート!$A$1:$A$10000,D15)+1),"")</f>
        <v>　　　　　174-0046 東京都板橋区蓮根３丁目９－２　　　　　　　　</v>
      </c>
      <c r="C15" s="3" t="str" cm="1">
        <f t="array" ref="C15">IFERROR(INDEX(貼付シート!$B$1:$B$10000,SMALL(貼付シート!$A$1:$A$10000,D15)+2),"")</f>
        <v>　　　　　004000 製造部　　　　　　 2005/04/01 M3</v>
      </c>
      <c r="D15" s="1">
        <v>14</v>
      </c>
      <c r="E15" s="1" t="str">
        <f t="shared" si="0"/>
        <v>EMP-00401</v>
      </c>
      <c r="F15" s="1" t="str">
        <f t="shared" si="1"/>
        <v>加藤　雄大</v>
      </c>
      <c r="G15" s="1" t="str">
        <f t="shared" si="2"/>
        <v>男</v>
      </c>
      <c r="H15" s="1" t="str">
        <f t="shared" si="3"/>
        <v>1982/07/03</v>
      </c>
      <c r="I15" s="1" t="str">
        <f t="shared" si="4"/>
        <v>174-0046</v>
      </c>
      <c r="J15" s="1" t="str">
        <f t="shared" si="5"/>
        <v>東京都板橋区蓮根３丁目９－２</v>
      </c>
      <c r="K15" s="1" t="str">
        <f t="shared" si="6"/>
        <v>004000</v>
      </c>
      <c r="L15" s="1" t="str">
        <f t="shared" si="7"/>
        <v>製造部</v>
      </c>
      <c r="M15" s="2">
        <f t="shared" si="8"/>
        <v>38443</v>
      </c>
      <c r="N15" s="1" t="str">
        <f t="shared" si="9"/>
        <v>M3</v>
      </c>
    </row>
    <row r="16" spans="1:14" x14ac:dyDescent="0.7">
      <c r="A16" s="3" t="str" cm="1">
        <f t="array" ref="A16">IFERROR(INDEX(貼付シート!$B$1:$B$10000,SMALL(貼付シート!$A$1:$A$10000,D16)),"")</f>
        <v>EMP-00402 林　　美穂　　　　　 女　 1990/04/18</v>
      </c>
      <c r="B16" s="3" t="str" cm="1">
        <f t="array" ref="B16">IFERROR(INDEX(貼付シート!$B$1:$B$10000,SMALL(貼付シート!$A$1:$A$10000,D16)+1),"")</f>
        <v>　　　　　178-0063 東京都練馬区東大泉５丁目２－７　　　　　　　</v>
      </c>
      <c r="C16" s="3" t="str" cm="1">
        <f t="array" ref="C16">IFERROR(INDEX(貼付シート!$B$1:$B$10000,SMALL(貼付シート!$A$1:$A$10000,D16)+2),"")</f>
        <v>　　　　　004000 製造部　　　　　　 2013/04/01 M1</v>
      </c>
      <c r="D16" s="1">
        <v>15</v>
      </c>
      <c r="E16" s="1" t="str">
        <f t="shared" si="0"/>
        <v>EMP-00402</v>
      </c>
      <c r="F16" s="1" t="str">
        <f t="shared" si="1"/>
        <v>林　美穂</v>
      </c>
      <c r="G16" s="1" t="str">
        <f t="shared" si="2"/>
        <v>女</v>
      </c>
      <c r="H16" s="1" t="str">
        <f t="shared" si="3"/>
        <v>1990/04/18</v>
      </c>
      <c r="I16" s="1" t="str">
        <f t="shared" si="4"/>
        <v>178-0063</v>
      </c>
      <c r="J16" s="1" t="str">
        <f t="shared" si="5"/>
        <v>東京都練馬区東大泉５丁目２－７</v>
      </c>
      <c r="K16" s="1" t="str">
        <f t="shared" si="6"/>
        <v>004000</v>
      </c>
      <c r="L16" s="1" t="str">
        <f t="shared" si="7"/>
        <v>製造部</v>
      </c>
      <c r="M16" s="2">
        <f t="shared" si="8"/>
        <v>41365</v>
      </c>
      <c r="N16" s="1" t="str">
        <f t="shared" si="9"/>
        <v>M1</v>
      </c>
    </row>
    <row r="17" spans="1:14" x14ac:dyDescent="0.7">
      <c r="A17" s="3" t="str" cm="1">
        <f t="array" ref="A17">IFERROR(INDEX(貼付シート!$B$1:$B$10000,SMALL(貼付シート!$A$1:$A$10000,D17)),"")</f>
        <v>EMP-00403 斎藤　陽介　　　　　 男　 1986/03/25</v>
      </c>
      <c r="B17" s="3" t="str" cm="1">
        <f t="array" ref="B17">IFERROR(INDEX(貼付シート!$B$1:$B$10000,SMALL(貼付シート!$A$1:$A$10000,D17)+1),"")</f>
        <v>　　　　　176-0001 東京都練馬区練馬１丁目４－３　　　　　　　　</v>
      </c>
      <c r="C17" s="3" t="str" cm="1">
        <f t="array" ref="C17">IFERROR(INDEX(貼付シート!$B$1:$B$10000,SMALL(貼付シート!$A$1:$A$10000,D17)+2),"")</f>
        <v>　　　　　004000 製造部　　　　　　 2009/04/01 M2</v>
      </c>
      <c r="D17" s="1">
        <v>16</v>
      </c>
      <c r="E17" s="1" t="str">
        <f t="shared" si="0"/>
        <v>EMP-00403</v>
      </c>
      <c r="F17" s="1" t="str">
        <f t="shared" si="1"/>
        <v>斎藤　陽介</v>
      </c>
      <c r="G17" s="1" t="str">
        <f t="shared" si="2"/>
        <v>男</v>
      </c>
      <c r="H17" s="1" t="str">
        <f t="shared" si="3"/>
        <v>1986/03/25</v>
      </c>
      <c r="I17" s="1" t="str">
        <f t="shared" si="4"/>
        <v>176-0001</v>
      </c>
      <c r="J17" s="1" t="str">
        <f t="shared" si="5"/>
        <v>東京都練馬区練馬１丁目４－３</v>
      </c>
      <c r="K17" s="1" t="str">
        <f t="shared" si="6"/>
        <v>004000</v>
      </c>
      <c r="L17" s="1" t="str">
        <f t="shared" si="7"/>
        <v>製造部</v>
      </c>
      <c r="M17" s="2">
        <f t="shared" si="8"/>
        <v>39904</v>
      </c>
      <c r="N17" s="1" t="str">
        <f t="shared" si="9"/>
        <v>M2</v>
      </c>
    </row>
    <row r="18" spans="1:14" x14ac:dyDescent="0.7">
      <c r="A18" s="3" t="str" cm="1">
        <f t="array" ref="A18">IFERROR(INDEX(貼付シート!$B$1:$B$10000,SMALL(貼付シート!$A$1:$A$10000,D18)),"")</f>
        <v>EMP-00404 清水　結衣　　　　　 女　 1993/12/11</v>
      </c>
      <c r="B18" s="3" t="str" cm="1">
        <f t="array" ref="B18">IFERROR(INDEX(貼付シート!$B$1:$B$10000,SMALL(貼付シート!$A$1:$A$10000,D18)+1),"")</f>
        <v>　　　　　173-0004 東京都板橋区板橋２丁目６－５　　　　　　　　</v>
      </c>
      <c r="C18" s="3" t="str" cm="1">
        <f t="array" ref="C18">IFERROR(INDEX(貼付シート!$B$1:$B$10000,SMALL(貼付シート!$A$1:$A$10000,D18)+2),"")</f>
        <v>　　　　　004000 製造部　　　　　　 2016/10/01 S3</v>
      </c>
      <c r="D18" s="1">
        <v>17</v>
      </c>
      <c r="E18" s="1" t="str">
        <f t="shared" si="0"/>
        <v>EMP-00404</v>
      </c>
      <c r="F18" s="1" t="str">
        <f t="shared" si="1"/>
        <v>清水　結衣</v>
      </c>
      <c r="G18" s="1" t="str">
        <f t="shared" si="2"/>
        <v>女</v>
      </c>
      <c r="H18" s="1" t="str">
        <f t="shared" si="3"/>
        <v>1993/12/11</v>
      </c>
      <c r="I18" s="1" t="str">
        <f t="shared" si="4"/>
        <v>173-0004</v>
      </c>
      <c r="J18" s="1" t="str">
        <f t="shared" si="5"/>
        <v>東京都板橋区板橋２丁目６－５</v>
      </c>
      <c r="K18" s="1" t="str">
        <f t="shared" si="6"/>
        <v>004000</v>
      </c>
      <c r="L18" s="1" t="str">
        <f t="shared" si="7"/>
        <v>製造部</v>
      </c>
      <c r="M18" s="2">
        <f t="shared" si="8"/>
        <v>42644</v>
      </c>
      <c r="N18" s="1" t="str">
        <f t="shared" si="9"/>
        <v>S3</v>
      </c>
    </row>
    <row r="19" spans="1:14" x14ac:dyDescent="0.7">
      <c r="A19" s="3" t="str" cm="1">
        <f t="array" ref="A19">IFERROR(INDEX(貼付シート!$B$1:$B$10000,SMALL(貼付シート!$A$1:$A$10000,D19)),"")</f>
        <v>EMP-00405 山田　誠一　　　　　 男　 1981/01/30</v>
      </c>
      <c r="B19" s="3" t="str" cm="1">
        <f t="array" ref="B19">IFERROR(INDEX(貼付シート!$B$1:$B$10000,SMALL(貼付シート!$A$1:$A$10000,D19)+1),"")</f>
        <v>　　　　　175-0082 東京都板橋区高島平７丁目１－４　　　　　　　</v>
      </c>
      <c r="C19" s="3" t="str" cm="1">
        <f t="array" ref="C19">IFERROR(INDEX(貼付シート!$B$1:$B$10000,SMALL(貼付シート!$A$1:$A$10000,D19)+2),"")</f>
        <v>　　　　　004000 製造部　　　　　　 2004/04/01 M3</v>
      </c>
      <c r="D19" s="1">
        <v>18</v>
      </c>
      <c r="E19" s="1" t="str">
        <f t="shared" si="0"/>
        <v>EMP-00405</v>
      </c>
      <c r="F19" s="1" t="str">
        <f t="shared" si="1"/>
        <v>山田　誠一</v>
      </c>
      <c r="G19" s="1" t="str">
        <f t="shared" si="2"/>
        <v>男</v>
      </c>
      <c r="H19" s="1" t="str">
        <f t="shared" si="3"/>
        <v>1981/01/30</v>
      </c>
      <c r="I19" s="1" t="str">
        <f t="shared" si="4"/>
        <v>175-0082</v>
      </c>
      <c r="J19" s="1" t="str">
        <f t="shared" si="5"/>
        <v>東京都板橋区高島平７丁目１－４</v>
      </c>
      <c r="K19" s="1" t="str">
        <f t="shared" si="6"/>
        <v>004000</v>
      </c>
      <c r="L19" s="1" t="str">
        <f t="shared" si="7"/>
        <v>製造部</v>
      </c>
      <c r="M19" s="2">
        <f t="shared" si="8"/>
        <v>38078</v>
      </c>
      <c r="N19" s="1" t="str">
        <f t="shared" si="9"/>
        <v>M3</v>
      </c>
    </row>
    <row r="20" spans="1:14" x14ac:dyDescent="0.7">
      <c r="A20" s="3" t="str" cm="1">
        <f t="array" ref="A20">IFERROR(INDEX(貼付シート!$B$1:$B$10000,SMALL(貼付シート!$A$1:$A$10000,D20)),"")</f>
        <v>EMP-00501 山口　直樹　　　　　 男　 1988/11/07</v>
      </c>
      <c r="B20" s="3" t="str" cm="1">
        <f t="array" ref="B20">IFERROR(INDEX(貼付シート!$B$1:$B$10000,SMALL(貼付シート!$A$1:$A$10000,D20)+1),"")</f>
        <v>　　　　　167-0043 東京都杉並区上荻１丁目３－８　　　　　　　　</v>
      </c>
      <c r="C20" s="3" t="str" cm="1">
        <f t="array" ref="C20">IFERROR(INDEX(貼付シート!$B$1:$B$10000,SMALL(貼付シート!$A$1:$A$10000,D20)+2),"")</f>
        <v>　　　　　005000 経理部　　　　　　 2011/04/01 M2</v>
      </c>
      <c r="D20" s="1">
        <v>19</v>
      </c>
      <c r="E20" s="1" t="str">
        <f t="shared" si="0"/>
        <v>EMP-00501</v>
      </c>
      <c r="F20" s="1" t="str">
        <f t="shared" si="1"/>
        <v>山口　直樹</v>
      </c>
      <c r="G20" s="1" t="str">
        <f t="shared" si="2"/>
        <v>男</v>
      </c>
      <c r="H20" s="1" t="str">
        <f t="shared" si="3"/>
        <v>1988/11/07</v>
      </c>
      <c r="I20" s="1" t="str">
        <f t="shared" si="4"/>
        <v>167-0043</v>
      </c>
      <c r="J20" s="1" t="str">
        <f t="shared" si="5"/>
        <v>東京都杉並区上荻１丁目３－８</v>
      </c>
      <c r="K20" s="1" t="str">
        <f t="shared" si="6"/>
        <v>005000</v>
      </c>
      <c r="L20" s="1" t="str">
        <f t="shared" si="7"/>
        <v>経理部</v>
      </c>
      <c r="M20" s="2">
        <f t="shared" si="8"/>
        <v>40634</v>
      </c>
      <c r="N20" s="1" t="str">
        <f t="shared" si="9"/>
        <v>M2</v>
      </c>
    </row>
    <row r="21" spans="1:14" x14ac:dyDescent="0.7">
      <c r="A21" s="3" t="str" cm="1">
        <f t="array" ref="A21">IFERROR(INDEX(貼付シート!$B$1:$B$10000,SMALL(貼付シート!$A$1:$A$10000,D21)),"")</f>
        <v>EMP-00502 前田　琴音　　　　　 女　 1992/06/19</v>
      </c>
      <c r="B21" s="3" t="str" cm="1">
        <f t="array" ref="B21">IFERROR(INDEX(貼付シート!$B$1:$B$10000,SMALL(貼付シート!$A$1:$A$10000,D21)+1),"")</f>
        <v>　　　　　166-0003 東京都杉並区高円寺南４丁目５－２　　　　　　</v>
      </c>
      <c r="C21" s="3" t="str" cm="1">
        <f t="array" ref="C21">IFERROR(INDEX(貼付シート!$B$1:$B$10000,SMALL(貼付シート!$A$1:$A$10000,D21)+2),"")</f>
        <v>　　　　　005000 経理部　　　　　　 2015/04/01 S3</v>
      </c>
      <c r="D21" s="1">
        <v>20</v>
      </c>
      <c r="E21" s="1" t="str">
        <f t="shared" si="0"/>
        <v>EMP-00502</v>
      </c>
      <c r="F21" s="1" t="str">
        <f t="shared" si="1"/>
        <v>前田　琴音</v>
      </c>
      <c r="G21" s="1" t="str">
        <f t="shared" si="2"/>
        <v>女</v>
      </c>
      <c r="H21" s="1" t="str">
        <f t="shared" si="3"/>
        <v>1992/06/19</v>
      </c>
      <c r="I21" s="1" t="str">
        <f t="shared" si="4"/>
        <v>166-0003</v>
      </c>
      <c r="J21" s="1" t="str">
        <f t="shared" si="5"/>
        <v>東京都杉並区高円寺南４丁目５－２</v>
      </c>
      <c r="K21" s="1" t="str">
        <f t="shared" si="6"/>
        <v>005000</v>
      </c>
      <c r="L21" s="1" t="str">
        <f t="shared" si="7"/>
        <v>経理部</v>
      </c>
      <c r="M21" s="2">
        <f t="shared" si="8"/>
        <v>42095</v>
      </c>
      <c r="N21" s="1" t="str">
        <f t="shared" si="9"/>
        <v>S3</v>
      </c>
    </row>
    <row r="22" spans="1:14" x14ac:dyDescent="0.7">
      <c r="A22" s="3" t="str" cm="1">
        <f t="array" ref="A22">IFERROR(INDEX(貼付シート!$B$1:$B$10000,SMALL(貼付シート!$A$1:$A$10000,D22)),"")</f>
        <v>EMP-00503 藤田　悠人　　　　　 男　 1985/09/14</v>
      </c>
      <c r="B22" s="3" t="str" cm="1">
        <f t="array" ref="B22">IFERROR(INDEX(貼付シート!$B$1:$B$10000,SMALL(貼付シート!$A$1:$A$10000,D22)+1),"")</f>
        <v>　　　　　181-0013 東京都三鷹市下連雀３丁目２－６　　　　　　　</v>
      </c>
      <c r="C22" s="3" t="str" cm="1">
        <f t="array" ref="C22">IFERROR(INDEX(貼付シート!$B$1:$B$10000,SMALL(貼付シート!$A$1:$A$10000,D22)+2),"")</f>
        <v>　　　　　005000 経理部　　　　　　 2008/10/01 M3</v>
      </c>
      <c r="D22" s="1">
        <v>21</v>
      </c>
      <c r="E22" s="1" t="str">
        <f t="shared" si="0"/>
        <v>EMP-00503</v>
      </c>
      <c r="F22" s="1" t="str">
        <f t="shared" si="1"/>
        <v>藤田　悠人</v>
      </c>
      <c r="G22" s="1" t="str">
        <f t="shared" si="2"/>
        <v>男</v>
      </c>
      <c r="H22" s="1" t="str">
        <f t="shared" si="3"/>
        <v>1985/09/14</v>
      </c>
      <c r="I22" s="1" t="str">
        <f t="shared" si="4"/>
        <v>181-0013</v>
      </c>
      <c r="J22" s="1" t="str">
        <f t="shared" si="5"/>
        <v>東京都三鷹市下連雀３丁目２－６</v>
      </c>
      <c r="K22" s="1" t="str">
        <f t="shared" si="6"/>
        <v>005000</v>
      </c>
      <c r="L22" s="1" t="str">
        <f t="shared" si="7"/>
        <v>経理部</v>
      </c>
      <c r="M22" s="2">
        <f t="shared" si="8"/>
        <v>39722</v>
      </c>
      <c r="N22" s="1" t="str">
        <f t="shared" si="9"/>
        <v>M3</v>
      </c>
    </row>
    <row r="23" spans="1:14" x14ac:dyDescent="0.7">
      <c r="A23" s="3" t="str" cm="1">
        <f t="array" ref="A23">IFERROR(INDEX(貼付シート!$B$1:$B$10000,SMALL(貼付シート!$A$1:$A$10000,D23)),"")</f>
        <v>EMP-00504 岡田　七海　　　　　 女　 1996/03/08</v>
      </c>
      <c r="B23" s="3" t="str" cm="1">
        <f t="array" ref="B23">IFERROR(INDEX(貼付シート!$B$1:$B$10000,SMALL(貼付シート!$A$1:$A$10000,D23)+1),"")</f>
        <v>　　　　　180-0004 東京都武蔵野市吉祥寺本町１丁目７－３　　　　</v>
      </c>
      <c r="C23" s="3" t="str" cm="1">
        <f t="array" ref="C23">IFERROR(INDEX(貼付シート!$B$1:$B$10000,SMALL(貼付シート!$A$1:$A$10000,D23)+2),"")</f>
        <v>　　　　　005000 経理部　　　　　　 2019/04/01 S1</v>
      </c>
      <c r="D23" s="1">
        <v>22</v>
      </c>
      <c r="E23" s="1" t="str">
        <f t="shared" si="0"/>
        <v>EMP-00504</v>
      </c>
      <c r="F23" s="1" t="str">
        <f t="shared" si="1"/>
        <v>岡田　七海</v>
      </c>
      <c r="G23" s="1" t="str">
        <f t="shared" si="2"/>
        <v>女</v>
      </c>
      <c r="H23" s="1" t="str">
        <f t="shared" si="3"/>
        <v>1996/03/08</v>
      </c>
      <c r="I23" s="1" t="str">
        <f t="shared" si="4"/>
        <v>180-0004</v>
      </c>
      <c r="J23" s="1" t="str">
        <f t="shared" si="5"/>
        <v>東京都武蔵野市吉祥寺本町１丁目７－３</v>
      </c>
      <c r="K23" s="1" t="str">
        <f t="shared" si="6"/>
        <v>005000</v>
      </c>
      <c r="L23" s="1" t="str">
        <f t="shared" si="7"/>
        <v>経理部</v>
      </c>
      <c r="M23" s="2">
        <f t="shared" si="8"/>
        <v>43556</v>
      </c>
      <c r="N23" s="1" t="str">
        <f t="shared" si="9"/>
        <v>S1</v>
      </c>
    </row>
    <row r="24" spans="1:14" x14ac:dyDescent="0.7">
      <c r="A24" s="3" t="str" cm="1">
        <f t="array" ref="A24">IFERROR(INDEX(貼付シート!$B$1:$B$10000,SMALL(貼付シート!$A$1:$A$10000,D24)),"")</f>
        <v/>
      </c>
      <c r="B24" s="3" t="str" cm="1">
        <f t="array" ref="B24">IFERROR(INDEX(貼付シート!$B$1:$B$10000,SMALL(貼付シート!$A$1:$A$10000,D24)+1),"")</f>
        <v/>
      </c>
      <c r="C24" s="3" t="str" cm="1">
        <f t="array" ref="C24">IFERROR(INDEX(貼付シート!$B$1:$B$10000,SMALL(貼付シート!$A$1:$A$10000,D24)+2),"")</f>
        <v/>
      </c>
      <c r="D24" s="1">
        <v>23</v>
      </c>
      <c r="E24" s="1" t="str">
        <f t="shared" si="0"/>
        <v/>
      </c>
      <c r="F24" s="1" t="str">
        <f t="shared" si="1"/>
        <v/>
      </c>
      <c r="G24" s="1" t="str">
        <f t="shared" si="2"/>
        <v/>
      </c>
      <c r="H24" s="1" t="str">
        <f t="shared" si="3"/>
        <v/>
      </c>
      <c r="I24" s="1" t="str">
        <f t="shared" si="4"/>
        <v/>
      </c>
      <c r="J24" s="1" t="str">
        <f t="shared" si="5"/>
        <v/>
      </c>
      <c r="K24" s="1" t="str">
        <f t="shared" si="6"/>
        <v/>
      </c>
      <c r="L24" s="1" t="str">
        <f t="shared" si="7"/>
        <v/>
      </c>
      <c r="M24" s="2" t="str">
        <f t="shared" si="8"/>
        <v/>
      </c>
      <c r="N24" s="1" t="str">
        <f t="shared" si="9"/>
        <v/>
      </c>
    </row>
    <row r="25" spans="1:14" x14ac:dyDescent="0.7">
      <c r="A25" s="3" t="str" cm="1">
        <f t="array" ref="A25">IFERROR(INDEX(貼付シート!$B$1:$B$10000,SMALL(貼付シート!$A$1:$A$10000,D25)),"")</f>
        <v/>
      </c>
      <c r="B25" s="3" t="str" cm="1">
        <f t="array" ref="B25">IFERROR(INDEX(貼付シート!$B$1:$B$10000,SMALL(貼付シート!$A$1:$A$10000,D25)+1),"")</f>
        <v/>
      </c>
      <c r="C25" s="3" t="str" cm="1">
        <f t="array" ref="C25">IFERROR(INDEX(貼付シート!$B$1:$B$10000,SMALL(貼付シート!$A$1:$A$10000,D25)+2),"")</f>
        <v/>
      </c>
      <c r="D25" s="1">
        <v>24</v>
      </c>
      <c r="E25" s="1" t="str">
        <f t="shared" si="0"/>
        <v/>
      </c>
      <c r="F25" s="1" t="str">
        <f t="shared" si="1"/>
        <v/>
      </c>
      <c r="G25" s="1" t="str">
        <f t="shared" si="2"/>
        <v/>
      </c>
      <c r="H25" s="1" t="str">
        <f t="shared" si="3"/>
        <v/>
      </c>
      <c r="I25" s="1" t="str">
        <f t="shared" si="4"/>
        <v/>
      </c>
      <c r="J25" s="1" t="str">
        <f t="shared" si="5"/>
        <v/>
      </c>
      <c r="K25" s="1" t="str">
        <f t="shared" si="6"/>
        <v/>
      </c>
      <c r="L25" s="1" t="str">
        <f t="shared" si="7"/>
        <v/>
      </c>
      <c r="M25" s="2" t="str">
        <f t="shared" si="8"/>
        <v/>
      </c>
      <c r="N25" s="1" t="str">
        <f t="shared" si="9"/>
        <v/>
      </c>
    </row>
    <row r="26" spans="1:14" x14ac:dyDescent="0.7">
      <c r="A26" s="3" t="str" cm="1">
        <f t="array" ref="A26">IFERROR(INDEX(貼付シート!$B$1:$B$10000,SMALL(貼付シート!$A$1:$A$10000,D26)),"")</f>
        <v/>
      </c>
      <c r="B26" s="3" t="str" cm="1">
        <f t="array" ref="B26">IFERROR(INDEX(貼付シート!$B$1:$B$10000,SMALL(貼付シート!$A$1:$A$10000,D26)+1),"")</f>
        <v/>
      </c>
      <c r="C26" s="3" t="str" cm="1">
        <f t="array" ref="C26">IFERROR(INDEX(貼付シート!$B$1:$B$10000,SMALL(貼付シート!$A$1:$A$10000,D26)+2),"")</f>
        <v/>
      </c>
      <c r="D26" s="1">
        <v>25</v>
      </c>
      <c r="E26" s="1" t="str">
        <f t="shared" si="0"/>
        <v/>
      </c>
      <c r="F26" s="1" t="str">
        <f t="shared" si="1"/>
        <v/>
      </c>
      <c r="G26" s="1" t="str">
        <f t="shared" si="2"/>
        <v/>
      </c>
      <c r="H26" s="1" t="str">
        <f t="shared" si="3"/>
        <v/>
      </c>
      <c r="I26" s="1" t="str">
        <f t="shared" si="4"/>
        <v/>
      </c>
      <c r="J26" s="1" t="str">
        <f t="shared" si="5"/>
        <v/>
      </c>
      <c r="K26" s="1" t="str">
        <f t="shared" si="6"/>
        <v/>
      </c>
      <c r="L26" s="1" t="str">
        <f t="shared" si="7"/>
        <v/>
      </c>
      <c r="M26" s="2" t="str">
        <f t="shared" si="8"/>
        <v/>
      </c>
      <c r="N26" s="1" t="str">
        <f t="shared" si="9"/>
        <v/>
      </c>
    </row>
    <row r="27" spans="1:14" x14ac:dyDescent="0.7">
      <c r="A27" s="3" t="str" cm="1">
        <f t="array" ref="A27">IFERROR(INDEX(貼付シート!$B$1:$B$10000,SMALL(貼付シート!$A$1:$A$10000,D27)),"")</f>
        <v/>
      </c>
      <c r="B27" s="3" t="str" cm="1">
        <f t="array" ref="B27">IFERROR(INDEX(貼付シート!$B$1:$B$10000,SMALL(貼付シート!$A$1:$A$10000,D27)+1),"")</f>
        <v/>
      </c>
      <c r="C27" s="3" t="str" cm="1">
        <f t="array" ref="C27">IFERROR(INDEX(貼付シート!$B$1:$B$10000,SMALL(貼付シート!$A$1:$A$10000,D27)+2),"")</f>
        <v/>
      </c>
      <c r="D27" s="1">
        <v>26</v>
      </c>
      <c r="E27" s="1" t="str">
        <f t="shared" si="0"/>
        <v/>
      </c>
      <c r="F27" s="1" t="str">
        <f t="shared" si="1"/>
        <v/>
      </c>
      <c r="G27" s="1" t="str">
        <f t="shared" si="2"/>
        <v/>
      </c>
      <c r="H27" s="1" t="str">
        <f t="shared" si="3"/>
        <v/>
      </c>
      <c r="I27" s="1" t="str">
        <f t="shared" si="4"/>
        <v/>
      </c>
      <c r="J27" s="1" t="str">
        <f t="shared" si="5"/>
        <v/>
      </c>
      <c r="K27" s="1" t="str">
        <f t="shared" si="6"/>
        <v/>
      </c>
      <c r="L27" s="1" t="str">
        <f t="shared" si="7"/>
        <v/>
      </c>
      <c r="M27" s="2" t="str">
        <f t="shared" si="8"/>
        <v/>
      </c>
      <c r="N27" s="1" t="str">
        <f t="shared" si="9"/>
        <v/>
      </c>
    </row>
    <row r="28" spans="1:14" x14ac:dyDescent="0.7">
      <c r="A28" s="3" t="str" cm="1">
        <f t="array" ref="A28">IFERROR(INDEX(貼付シート!$B$1:$B$10000,SMALL(貼付シート!$A$1:$A$10000,D28)),"")</f>
        <v/>
      </c>
      <c r="B28" s="3" t="str" cm="1">
        <f t="array" ref="B28">IFERROR(INDEX(貼付シート!$B$1:$B$10000,SMALL(貼付シート!$A$1:$A$10000,D28)+1),"")</f>
        <v/>
      </c>
      <c r="C28" s="3" t="str" cm="1">
        <f t="array" ref="C28">IFERROR(INDEX(貼付シート!$B$1:$B$10000,SMALL(貼付シート!$A$1:$A$10000,D28)+2),"")</f>
        <v/>
      </c>
      <c r="D28" s="1">
        <v>27</v>
      </c>
      <c r="E28" s="1" t="str">
        <f t="shared" si="0"/>
        <v/>
      </c>
      <c r="F28" s="1" t="str">
        <f t="shared" si="1"/>
        <v/>
      </c>
      <c r="G28" s="1" t="str">
        <f t="shared" si="2"/>
        <v/>
      </c>
      <c r="H28" s="1" t="str">
        <f t="shared" si="3"/>
        <v/>
      </c>
      <c r="I28" s="1" t="str">
        <f t="shared" si="4"/>
        <v/>
      </c>
      <c r="J28" s="1" t="str">
        <f t="shared" si="5"/>
        <v/>
      </c>
      <c r="K28" s="1" t="str">
        <f t="shared" si="6"/>
        <v/>
      </c>
      <c r="L28" s="1" t="str">
        <f t="shared" si="7"/>
        <v/>
      </c>
      <c r="M28" s="2" t="str">
        <f t="shared" si="8"/>
        <v/>
      </c>
      <c r="N28" s="1" t="str">
        <f t="shared" si="9"/>
        <v/>
      </c>
    </row>
    <row r="29" spans="1:14" x14ac:dyDescent="0.7">
      <c r="A29" s="3" t="str" cm="1">
        <f t="array" ref="A29">IFERROR(INDEX(貼付シート!$B$1:$B$10000,SMALL(貼付シート!$A$1:$A$10000,D29)),"")</f>
        <v/>
      </c>
      <c r="B29" s="3" t="str" cm="1">
        <f t="array" ref="B29">IFERROR(INDEX(貼付シート!$B$1:$B$10000,SMALL(貼付シート!$A$1:$A$10000,D29)+1),"")</f>
        <v/>
      </c>
      <c r="C29" s="3" t="str" cm="1">
        <f t="array" ref="C29">IFERROR(INDEX(貼付シート!$B$1:$B$10000,SMALL(貼付シート!$A$1:$A$10000,D29)+2),"")</f>
        <v/>
      </c>
      <c r="D29" s="1">
        <v>28</v>
      </c>
      <c r="E29" s="1" t="str">
        <f t="shared" si="0"/>
        <v/>
      </c>
      <c r="F29" s="1" t="str">
        <f t="shared" si="1"/>
        <v/>
      </c>
      <c r="G29" s="1" t="str">
        <f t="shared" si="2"/>
        <v/>
      </c>
      <c r="H29" s="1" t="str">
        <f t="shared" si="3"/>
        <v/>
      </c>
      <c r="I29" s="1" t="str">
        <f t="shared" si="4"/>
        <v/>
      </c>
      <c r="J29" s="1" t="str">
        <f t="shared" si="5"/>
        <v/>
      </c>
      <c r="K29" s="1" t="str">
        <f t="shared" si="6"/>
        <v/>
      </c>
      <c r="L29" s="1" t="str">
        <f t="shared" si="7"/>
        <v/>
      </c>
      <c r="M29" s="2" t="str">
        <f t="shared" si="8"/>
        <v/>
      </c>
      <c r="N29" s="1" t="str">
        <f t="shared" si="9"/>
        <v/>
      </c>
    </row>
    <row r="30" spans="1:14" x14ac:dyDescent="0.7">
      <c r="A30" s="3" t="str" cm="1">
        <f t="array" ref="A30">IFERROR(INDEX(貼付シート!$B$1:$B$10000,SMALL(貼付シート!$A$1:$A$10000,D30)),"")</f>
        <v/>
      </c>
      <c r="B30" s="3" t="str" cm="1">
        <f t="array" ref="B30">IFERROR(INDEX(貼付シート!$B$1:$B$10000,SMALL(貼付シート!$A$1:$A$10000,D30)+1),"")</f>
        <v/>
      </c>
      <c r="C30" s="3" t="str" cm="1">
        <f t="array" ref="C30">IFERROR(INDEX(貼付シート!$B$1:$B$10000,SMALL(貼付シート!$A$1:$A$10000,D30)+2),"")</f>
        <v/>
      </c>
      <c r="D30" s="1">
        <v>29</v>
      </c>
      <c r="E30" s="1" t="str">
        <f t="shared" si="0"/>
        <v/>
      </c>
      <c r="F30" s="1" t="str">
        <f t="shared" si="1"/>
        <v/>
      </c>
      <c r="G30" s="1" t="str">
        <f t="shared" si="2"/>
        <v/>
      </c>
      <c r="H30" s="1" t="str">
        <f t="shared" si="3"/>
        <v/>
      </c>
      <c r="I30" s="1" t="str">
        <f t="shared" si="4"/>
        <v/>
      </c>
      <c r="J30" s="1" t="str">
        <f t="shared" si="5"/>
        <v/>
      </c>
      <c r="K30" s="1" t="str">
        <f t="shared" si="6"/>
        <v/>
      </c>
      <c r="L30" s="1" t="str">
        <f t="shared" si="7"/>
        <v/>
      </c>
      <c r="M30" s="2" t="str">
        <f t="shared" si="8"/>
        <v/>
      </c>
      <c r="N30" s="1" t="str">
        <f t="shared" si="9"/>
        <v/>
      </c>
    </row>
    <row r="31" spans="1:14" x14ac:dyDescent="0.7">
      <c r="A31" s="3" t="str" cm="1">
        <f t="array" ref="A31">IFERROR(INDEX(貼付シート!$B$1:$B$10000,SMALL(貼付シート!$A$1:$A$10000,D31)),"")</f>
        <v/>
      </c>
      <c r="B31" s="3" t="str" cm="1">
        <f t="array" ref="B31">IFERROR(INDEX(貼付シート!$B$1:$B$10000,SMALL(貼付シート!$A$1:$A$10000,D31)+1),"")</f>
        <v/>
      </c>
      <c r="C31" s="3" t="str" cm="1">
        <f t="array" ref="C31">IFERROR(INDEX(貼付シート!$B$1:$B$10000,SMALL(貼付シート!$A$1:$A$10000,D31)+2),"")</f>
        <v/>
      </c>
      <c r="D31" s="1">
        <v>30</v>
      </c>
      <c r="E31" s="1" t="str">
        <f t="shared" si="0"/>
        <v/>
      </c>
      <c r="F31" s="1" t="str">
        <f t="shared" si="1"/>
        <v/>
      </c>
      <c r="G31" s="1" t="str">
        <f t="shared" si="2"/>
        <v/>
      </c>
      <c r="H31" s="1" t="str">
        <f t="shared" si="3"/>
        <v/>
      </c>
      <c r="I31" s="1" t="str">
        <f t="shared" si="4"/>
        <v/>
      </c>
      <c r="J31" s="1" t="str">
        <f t="shared" si="5"/>
        <v/>
      </c>
      <c r="K31" s="1" t="str">
        <f t="shared" si="6"/>
        <v/>
      </c>
      <c r="L31" s="1" t="str">
        <f t="shared" si="7"/>
        <v/>
      </c>
      <c r="M31" s="2" t="str">
        <f t="shared" si="8"/>
        <v/>
      </c>
      <c r="N31" s="1" t="str">
        <f t="shared" si="9"/>
        <v/>
      </c>
    </row>
    <row r="32" spans="1:14" x14ac:dyDescent="0.7">
      <c r="A32" s="3" t="str" cm="1">
        <f t="array" ref="A32">IFERROR(INDEX(貼付シート!$B$1:$B$10000,SMALL(貼付シート!$A$1:$A$10000,D32)),"")</f>
        <v/>
      </c>
      <c r="B32" s="3" t="str" cm="1">
        <f t="array" ref="B32">IFERROR(INDEX(貼付シート!$B$1:$B$10000,SMALL(貼付シート!$A$1:$A$10000,D32)+1),"")</f>
        <v/>
      </c>
      <c r="C32" s="3" t="str" cm="1">
        <f t="array" ref="C32">IFERROR(INDEX(貼付シート!$B$1:$B$10000,SMALL(貼付シート!$A$1:$A$10000,D32)+2),"")</f>
        <v/>
      </c>
      <c r="D32" s="1">
        <v>31</v>
      </c>
      <c r="E32" s="1" t="str">
        <f t="shared" si="0"/>
        <v/>
      </c>
      <c r="F32" s="1" t="str">
        <f t="shared" si="1"/>
        <v/>
      </c>
      <c r="G32" s="1" t="str">
        <f t="shared" si="2"/>
        <v/>
      </c>
      <c r="H32" s="1" t="str">
        <f t="shared" si="3"/>
        <v/>
      </c>
      <c r="I32" s="1" t="str">
        <f t="shared" si="4"/>
        <v/>
      </c>
      <c r="J32" s="1" t="str">
        <f t="shared" si="5"/>
        <v/>
      </c>
      <c r="K32" s="1" t="str">
        <f t="shared" si="6"/>
        <v/>
      </c>
      <c r="L32" s="1" t="str">
        <f t="shared" si="7"/>
        <v/>
      </c>
      <c r="M32" s="2" t="str">
        <f t="shared" si="8"/>
        <v/>
      </c>
      <c r="N32" s="1" t="str">
        <f t="shared" si="9"/>
        <v/>
      </c>
    </row>
    <row r="33" spans="1:14" x14ac:dyDescent="0.7">
      <c r="A33" s="3" t="str" cm="1">
        <f t="array" ref="A33">IFERROR(INDEX(貼付シート!$B$1:$B$10000,SMALL(貼付シート!$A$1:$A$10000,D33)),"")</f>
        <v/>
      </c>
      <c r="B33" s="3" t="str" cm="1">
        <f t="array" ref="B33">IFERROR(INDEX(貼付シート!$B$1:$B$10000,SMALL(貼付シート!$A$1:$A$10000,D33)+1),"")</f>
        <v/>
      </c>
      <c r="C33" s="3" t="str" cm="1">
        <f t="array" ref="C33">IFERROR(INDEX(貼付シート!$B$1:$B$10000,SMALL(貼付シート!$A$1:$A$10000,D33)+2),"")</f>
        <v/>
      </c>
      <c r="D33" s="1">
        <v>32</v>
      </c>
      <c r="E33" s="1" t="str">
        <f t="shared" si="0"/>
        <v/>
      </c>
      <c r="F33" s="1" t="str">
        <f t="shared" si="1"/>
        <v/>
      </c>
      <c r="G33" s="1" t="str">
        <f t="shared" si="2"/>
        <v/>
      </c>
      <c r="H33" s="1" t="str">
        <f t="shared" si="3"/>
        <v/>
      </c>
      <c r="I33" s="1" t="str">
        <f t="shared" si="4"/>
        <v/>
      </c>
      <c r="J33" s="1" t="str">
        <f t="shared" si="5"/>
        <v/>
      </c>
      <c r="K33" s="1" t="str">
        <f t="shared" si="6"/>
        <v/>
      </c>
      <c r="L33" s="1" t="str">
        <f t="shared" si="7"/>
        <v/>
      </c>
      <c r="M33" s="2" t="str">
        <f t="shared" si="8"/>
        <v/>
      </c>
      <c r="N33" s="1" t="str">
        <f t="shared" si="9"/>
        <v/>
      </c>
    </row>
    <row r="34" spans="1:14" x14ac:dyDescent="0.7">
      <c r="A34" s="3" t="str" cm="1">
        <f t="array" ref="A34">IFERROR(INDEX(貼付シート!$B$1:$B$10000,SMALL(貼付シート!$A$1:$A$10000,D34)),"")</f>
        <v/>
      </c>
      <c r="B34" s="3" t="str" cm="1">
        <f t="array" ref="B34">IFERROR(INDEX(貼付シート!$B$1:$B$10000,SMALL(貼付シート!$A$1:$A$10000,D34)+1),"")</f>
        <v/>
      </c>
      <c r="C34" s="3" t="str" cm="1">
        <f t="array" ref="C34">IFERROR(INDEX(貼付シート!$B$1:$B$10000,SMALL(貼付シート!$A$1:$A$10000,D34)+2),"")</f>
        <v/>
      </c>
      <c r="D34" s="1">
        <v>33</v>
      </c>
      <c r="E34" s="1" t="str">
        <f t="shared" si="0"/>
        <v/>
      </c>
      <c r="F34" s="1" t="str">
        <f t="shared" si="1"/>
        <v/>
      </c>
      <c r="G34" s="1" t="str">
        <f t="shared" si="2"/>
        <v/>
      </c>
      <c r="H34" s="1" t="str">
        <f t="shared" si="3"/>
        <v/>
      </c>
      <c r="I34" s="1" t="str">
        <f t="shared" si="4"/>
        <v/>
      </c>
      <c r="J34" s="1" t="str">
        <f t="shared" si="5"/>
        <v/>
      </c>
      <c r="K34" s="1" t="str">
        <f t="shared" si="6"/>
        <v/>
      </c>
      <c r="L34" s="1" t="str">
        <f t="shared" si="7"/>
        <v/>
      </c>
      <c r="M34" s="2" t="str">
        <f t="shared" si="8"/>
        <v/>
      </c>
      <c r="N34" s="1" t="str">
        <f t="shared" si="9"/>
        <v/>
      </c>
    </row>
    <row r="35" spans="1:14" x14ac:dyDescent="0.7">
      <c r="A35" s="3" t="str" cm="1">
        <f t="array" ref="A35">IFERROR(INDEX(貼付シート!$B$1:$B$10000,SMALL(貼付シート!$A$1:$A$10000,D35)),"")</f>
        <v/>
      </c>
      <c r="B35" s="3" t="str" cm="1">
        <f t="array" ref="B35">IFERROR(INDEX(貼付シート!$B$1:$B$10000,SMALL(貼付シート!$A$1:$A$10000,D35)+1),"")</f>
        <v/>
      </c>
      <c r="C35" s="3" t="str" cm="1">
        <f t="array" ref="C35">IFERROR(INDEX(貼付シート!$B$1:$B$10000,SMALL(貼付シート!$A$1:$A$10000,D35)+2),"")</f>
        <v/>
      </c>
      <c r="D35" s="1">
        <v>34</v>
      </c>
      <c r="E35" s="1" t="str">
        <f t="shared" si="0"/>
        <v/>
      </c>
      <c r="F35" s="1" t="str">
        <f t="shared" si="1"/>
        <v/>
      </c>
      <c r="G35" s="1" t="str">
        <f t="shared" si="2"/>
        <v/>
      </c>
      <c r="H35" s="1" t="str">
        <f t="shared" si="3"/>
        <v/>
      </c>
      <c r="I35" s="1" t="str">
        <f t="shared" si="4"/>
        <v/>
      </c>
      <c r="J35" s="1" t="str">
        <f t="shared" si="5"/>
        <v/>
      </c>
      <c r="K35" s="1" t="str">
        <f t="shared" si="6"/>
        <v/>
      </c>
      <c r="L35" s="1" t="str">
        <f t="shared" si="7"/>
        <v/>
      </c>
      <c r="M35" s="2" t="str">
        <f t="shared" si="8"/>
        <v/>
      </c>
      <c r="N35" s="1" t="str">
        <f t="shared" si="9"/>
        <v/>
      </c>
    </row>
    <row r="36" spans="1:14" x14ac:dyDescent="0.7">
      <c r="A36" s="3" t="str" cm="1">
        <f t="array" ref="A36">IFERROR(INDEX(貼付シート!$B$1:$B$10000,SMALL(貼付シート!$A$1:$A$10000,D36)),"")</f>
        <v/>
      </c>
      <c r="B36" s="3" t="str" cm="1">
        <f t="array" ref="B36">IFERROR(INDEX(貼付シート!$B$1:$B$10000,SMALL(貼付シート!$A$1:$A$10000,D36)+1),"")</f>
        <v/>
      </c>
      <c r="C36" s="3" t="str" cm="1">
        <f t="array" ref="C36">IFERROR(INDEX(貼付シート!$B$1:$B$10000,SMALL(貼付シート!$A$1:$A$10000,D36)+2),"")</f>
        <v/>
      </c>
      <c r="D36" s="1">
        <v>35</v>
      </c>
      <c r="E36" s="1" t="str">
        <f t="shared" si="0"/>
        <v/>
      </c>
      <c r="F36" s="1" t="str">
        <f t="shared" si="1"/>
        <v/>
      </c>
      <c r="G36" s="1" t="str">
        <f t="shared" si="2"/>
        <v/>
      </c>
      <c r="H36" s="1" t="str">
        <f t="shared" si="3"/>
        <v/>
      </c>
      <c r="I36" s="1" t="str">
        <f t="shared" si="4"/>
        <v/>
      </c>
      <c r="J36" s="1" t="str">
        <f t="shared" si="5"/>
        <v/>
      </c>
      <c r="K36" s="1" t="str">
        <f t="shared" si="6"/>
        <v/>
      </c>
      <c r="L36" s="1" t="str">
        <f t="shared" si="7"/>
        <v/>
      </c>
      <c r="M36" s="2" t="str">
        <f t="shared" si="8"/>
        <v/>
      </c>
      <c r="N36" s="1" t="str">
        <f t="shared" si="9"/>
        <v/>
      </c>
    </row>
    <row r="37" spans="1:14" x14ac:dyDescent="0.7">
      <c r="A37" s="3" t="str" cm="1">
        <f t="array" ref="A37">IFERROR(INDEX(貼付シート!$B$1:$B$10000,SMALL(貼付シート!$A$1:$A$10000,D37)),"")</f>
        <v/>
      </c>
      <c r="B37" s="3" t="str" cm="1">
        <f t="array" ref="B37">IFERROR(INDEX(貼付シート!$B$1:$B$10000,SMALL(貼付シート!$A$1:$A$10000,D37)+1),"")</f>
        <v/>
      </c>
      <c r="C37" s="3" t="str" cm="1">
        <f t="array" ref="C37">IFERROR(INDEX(貼付シート!$B$1:$B$10000,SMALL(貼付シート!$A$1:$A$10000,D37)+2),"")</f>
        <v/>
      </c>
      <c r="D37" s="1">
        <v>36</v>
      </c>
      <c r="E37" s="1" t="str">
        <f t="shared" si="0"/>
        <v/>
      </c>
      <c r="F37" s="1" t="str">
        <f t="shared" si="1"/>
        <v/>
      </c>
      <c r="G37" s="1" t="str">
        <f t="shared" si="2"/>
        <v/>
      </c>
      <c r="H37" s="1" t="str">
        <f t="shared" si="3"/>
        <v/>
      </c>
      <c r="I37" s="1" t="str">
        <f t="shared" si="4"/>
        <v/>
      </c>
      <c r="J37" s="1" t="str">
        <f t="shared" si="5"/>
        <v/>
      </c>
      <c r="K37" s="1" t="str">
        <f t="shared" si="6"/>
        <v/>
      </c>
      <c r="L37" s="1" t="str">
        <f t="shared" si="7"/>
        <v/>
      </c>
      <c r="M37" s="2" t="str">
        <f t="shared" si="8"/>
        <v/>
      </c>
      <c r="N37" s="1" t="str">
        <f t="shared" si="9"/>
        <v/>
      </c>
    </row>
    <row r="38" spans="1:14" x14ac:dyDescent="0.7">
      <c r="A38" s="3" t="str" cm="1">
        <f t="array" ref="A38">IFERROR(INDEX(貼付シート!$B$1:$B$10000,SMALL(貼付シート!$A$1:$A$10000,D38)),"")</f>
        <v/>
      </c>
      <c r="B38" s="3" t="str" cm="1">
        <f t="array" ref="B38">IFERROR(INDEX(貼付シート!$B$1:$B$10000,SMALL(貼付シート!$A$1:$A$10000,D38)+1),"")</f>
        <v/>
      </c>
      <c r="C38" s="3" t="str" cm="1">
        <f t="array" ref="C38">IFERROR(INDEX(貼付シート!$B$1:$B$10000,SMALL(貼付シート!$A$1:$A$10000,D38)+2),"")</f>
        <v/>
      </c>
      <c r="D38" s="1">
        <v>37</v>
      </c>
      <c r="E38" s="1" t="str">
        <f t="shared" si="0"/>
        <v/>
      </c>
      <c r="F38" s="1" t="str">
        <f t="shared" si="1"/>
        <v/>
      </c>
      <c r="G38" s="1" t="str">
        <f t="shared" si="2"/>
        <v/>
      </c>
      <c r="H38" s="1" t="str">
        <f t="shared" si="3"/>
        <v/>
      </c>
      <c r="I38" s="1" t="str">
        <f t="shared" si="4"/>
        <v/>
      </c>
      <c r="J38" s="1" t="str">
        <f t="shared" si="5"/>
        <v/>
      </c>
      <c r="K38" s="1" t="str">
        <f t="shared" si="6"/>
        <v/>
      </c>
      <c r="L38" s="1" t="str">
        <f t="shared" si="7"/>
        <v/>
      </c>
      <c r="M38" s="2" t="str">
        <f t="shared" si="8"/>
        <v/>
      </c>
      <c r="N38" s="1" t="str">
        <f t="shared" si="9"/>
        <v/>
      </c>
    </row>
    <row r="39" spans="1:14" x14ac:dyDescent="0.7">
      <c r="A39" s="3" t="str" cm="1">
        <f t="array" ref="A39">IFERROR(INDEX(貼付シート!$B$1:$B$10000,SMALL(貼付シート!$A$1:$A$10000,D39)),"")</f>
        <v/>
      </c>
      <c r="B39" s="3" t="str" cm="1">
        <f t="array" ref="B39">IFERROR(INDEX(貼付シート!$B$1:$B$10000,SMALL(貼付シート!$A$1:$A$10000,D39)+1),"")</f>
        <v/>
      </c>
      <c r="C39" s="3" t="str" cm="1">
        <f t="array" ref="C39">IFERROR(INDEX(貼付シート!$B$1:$B$10000,SMALL(貼付シート!$A$1:$A$10000,D39)+2),"")</f>
        <v/>
      </c>
      <c r="D39" s="1">
        <v>38</v>
      </c>
      <c r="E39" s="1" t="str">
        <f t="shared" si="0"/>
        <v/>
      </c>
      <c r="F39" s="1" t="str">
        <f t="shared" si="1"/>
        <v/>
      </c>
      <c r="G39" s="1" t="str">
        <f t="shared" si="2"/>
        <v/>
      </c>
      <c r="H39" s="1" t="str">
        <f t="shared" si="3"/>
        <v/>
      </c>
      <c r="I39" s="1" t="str">
        <f t="shared" si="4"/>
        <v/>
      </c>
      <c r="J39" s="1" t="str">
        <f t="shared" si="5"/>
        <v/>
      </c>
      <c r="K39" s="1" t="str">
        <f t="shared" si="6"/>
        <v/>
      </c>
      <c r="L39" s="1" t="str">
        <f t="shared" si="7"/>
        <v/>
      </c>
      <c r="M39" s="2" t="str">
        <f t="shared" si="8"/>
        <v/>
      </c>
      <c r="N39" s="1" t="str">
        <f t="shared" si="9"/>
        <v/>
      </c>
    </row>
    <row r="40" spans="1:14" x14ac:dyDescent="0.7">
      <c r="A40" s="3" t="str" cm="1">
        <f t="array" ref="A40">IFERROR(INDEX(貼付シート!$B$1:$B$10000,SMALL(貼付シート!$A$1:$A$10000,D40)),"")</f>
        <v/>
      </c>
      <c r="B40" s="3" t="str" cm="1">
        <f t="array" ref="B40">IFERROR(INDEX(貼付シート!$B$1:$B$10000,SMALL(貼付シート!$A$1:$A$10000,D40)+1),"")</f>
        <v/>
      </c>
      <c r="C40" s="3" t="str" cm="1">
        <f t="array" ref="C40">IFERROR(INDEX(貼付シート!$B$1:$B$10000,SMALL(貼付シート!$A$1:$A$10000,D40)+2),"")</f>
        <v/>
      </c>
      <c r="D40" s="1">
        <v>39</v>
      </c>
      <c r="E40" s="1" t="str">
        <f t="shared" si="0"/>
        <v/>
      </c>
      <c r="F40" s="1" t="str">
        <f t="shared" si="1"/>
        <v/>
      </c>
      <c r="G40" s="1" t="str">
        <f t="shared" si="2"/>
        <v/>
      </c>
      <c r="H40" s="1" t="str">
        <f t="shared" si="3"/>
        <v/>
      </c>
      <c r="I40" s="1" t="str">
        <f t="shared" si="4"/>
        <v/>
      </c>
      <c r="J40" s="1" t="str">
        <f t="shared" si="5"/>
        <v/>
      </c>
      <c r="K40" s="1" t="str">
        <f t="shared" si="6"/>
        <v/>
      </c>
      <c r="L40" s="1" t="str">
        <f t="shared" si="7"/>
        <v/>
      </c>
      <c r="M40" s="2" t="str">
        <f t="shared" si="8"/>
        <v/>
      </c>
      <c r="N40" s="1" t="str">
        <f t="shared" si="9"/>
        <v/>
      </c>
    </row>
    <row r="41" spans="1:14" x14ac:dyDescent="0.7">
      <c r="A41" s="3" t="str" cm="1">
        <f t="array" ref="A41">IFERROR(INDEX(貼付シート!$B$1:$B$10000,SMALL(貼付シート!$A$1:$A$10000,D41)),"")</f>
        <v/>
      </c>
      <c r="B41" s="3" t="str" cm="1">
        <f t="array" ref="B41">IFERROR(INDEX(貼付シート!$B$1:$B$10000,SMALL(貼付シート!$A$1:$A$10000,D41)+1),"")</f>
        <v/>
      </c>
      <c r="C41" s="3" t="str" cm="1">
        <f t="array" ref="C41">IFERROR(INDEX(貼付シート!$B$1:$B$10000,SMALL(貼付シート!$A$1:$A$10000,D41)+2),"")</f>
        <v/>
      </c>
      <c r="D41" s="1">
        <v>40</v>
      </c>
      <c r="E41" s="1" t="str">
        <f t="shared" si="0"/>
        <v/>
      </c>
      <c r="F41" s="1" t="str">
        <f t="shared" si="1"/>
        <v/>
      </c>
      <c r="G41" s="1" t="str">
        <f t="shared" si="2"/>
        <v/>
      </c>
      <c r="H41" s="1" t="str">
        <f t="shared" si="3"/>
        <v/>
      </c>
      <c r="I41" s="1" t="str">
        <f t="shared" si="4"/>
        <v/>
      </c>
      <c r="J41" s="1" t="str">
        <f t="shared" si="5"/>
        <v/>
      </c>
      <c r="K41" s="1" t="str">
        <f t="shared" si="6"/>
        <v/>
      </c>
      <c r="L41" s="1" t="str">
        <f t="shared" si="7"/>
        <v/>
      </c>
      <c r="M41" s="2" t="str">
        <f t="shared" si="8"/>
        <v/>
      </c>
      <c r="N41" s="1" t="str">
        <f t="shared" si="9"/>
        <v/>
      </c>
    </row>
    <row r="42" spans="1:14" x14ac:dyDescent="0.7">
      <c r="A42" s="3" t="str" cm="1">
        <f t="array" ref="A42">IFERROR(INDEX(貼付シート!$B$1:$B$10000,SMALL(貼付シート!$A$1:$A$10000,D42)),"")</f>
        <v/>
      </c>
      <c r="B42" s="3" t="str" cm="1">
        <f t="array" ref="B42">IFERROR(INDEX(貼付シート!$B$1:$B$10000,SMALL(貼付シート!$A$1:$A$10000,D42)+1),"")</f>
        <v/>
      </c>
      <c r="C42" s="3" t="str" cm="1">
        <f t="array" ref="C42">IFERROR(INDEX(貼付シート!$B$1:$B$10000,SMALL(貼付シート!$A$1:$A$10000,D42)+2),"")</f>
        <v/>
      </c>
      <c r="D42" s="1">
        <v>41</v>
      </c>
      <c r="E42" s="1" t="str">
        <f t="shared" si="0"/>
        <v/>
      </c>
      <c r="F42" s="1" t="str">
        <f t="shared" si="1"/>
        <v/>
      </c>
      <c r="G42" s="1" t="str">
        <f t="shared" si="2"/>
        <v/>
      </c>
      <c r="H42" s="1" t="str">
        <f t="shared" si="3"/>
        <v/>
      </c>
      <c r="I42" s="1" t="str">
        <f t="shared" si="4"/>
        <v/>
      </c>
      <c r="J42" s="1" t="str">
        <f t="shared" si="5"/>
        <v/>
      </c>
      <c r="K42" s="1" t="str">
        <f t="shared" si="6"/>
        <v/>
      </c>
      <c r="L42" s="1" t="str">
        <f t="shared" si="7"/>
        <v/>
      </c>
      <c r="M42" s="2" t="str">
        <f t="shared" si="8"/>
        <v/>
      </c>
      <c r="N42" s="1" t="str">
        <f t="shared" si="9"/>
        <v/>
      </c>
    </row>
    <row r="43" spans="1:14" x14ac:dyDescent="0.7">
      <c r="A43" s="3" t="str" cm="1">
        <f t="array" ref="A43">IFERROR(INDEX(貼付シート!$B$1:$B$10000,SMALL(貼付シート!$A$1:$A$10000,D43)),"")</f>
        <v/>
      </c>
      <c r="B43" s="3" t="str" cm="1">
        <f t="array" ref="B43">IFERROR(INDEX(貼付シート!$B$1:$B$10000,SMALL(貼付シート!$A$1:$A$10000,D43)+1),"")</f>
        <v/>
      </c>
      <c r="C43" s="3" t="str" cm="1">
        <f t="array" ref="C43">IFERROR(INDEX(貼付シート!$B$1:$B$10000,SMALL(貼付シート!$A$1:$A$10000,D43)+2),"")</f>
        <v/>
      </c>
      <c r="D43" s="1">
        <v>42</v>
      </c>
      <c r="E43" s="1" t="str">
        <f t="shared" si="0"/>
        <v/>
      </c>
      <c r="F43" s="1" t="str">
        <f t="shared" si="1"/>
        <v/>
      </c>
      <c r="G43" s="1" t="str">
        <f t="shared" si="2"/>
        <v/>
      </c>
      <c r="H43" s="1" t="str">
        <f t="shared" si="3"/>
        <v/>
      </c>
      <c r="I43" s="1" t="str">
        <f t="shared" si="4"/>
        <v/>
      </c>
      <c r="J43" s="1" t="str">
        <f t="shared" si="5"/>
        <v/>
      </c>
      <c r="K43" s="1" t="str">
        <f t="shared" si="6"/>
        <v/>
      </c>
      <c r="L43" s="1" t="str">
        <f t="shared" si="7"/>
        <v/>
      </c>
      <c r="M43" s="2" t="str">
        <f t="shared" si="8"/>
        <v/>
      </c>
      <c r="N43" s="1" t="str">
        <f t="shared" si="9"/>
        <v/>
      </c>
    </row>
    <row r="44" spans="1:14" x14ac:dyDescent="0.7">
      <c r="A44" s="3" t="str" cm="1">
        <f t="array" ref="A44">IFERROR(INDEX(貼付シート!$B$1:$B$10000,SMALL(貼付シート!$A$1:$A$10000,D44)),"")</f>
        <v/>
      </c>
      <c r="B44" s="3" t="str" cm="1">
        <f t="array" ref="B44">IFERROR(INDEX(貼付シート!$B$1:$B$10000,SMALL(貼付シート!$A$1:$A$10000,D44)+1),"")</f>
        <v/>
      </c>
      <c r="C44" s="3" t="str" cm="1">
        <f t="array" ref="C44">IFERROR(INDEX(貼付シート!$B$1:$B$10000,SMALL(貼付シート!$A$1:$A$10000,D44)+2),"")</f>
        <v/>
      </c>
      <c r="D44" s="1">
        <v>43</v>
      </c>
      <c r="E44" s="1" t="str">
        <f t="shared" si="0"/>
        <v/>
      </c>
      <c r="F44" s="1" t="str">
        <f t="shared" si="1"/>
        <v/>
      </c>
      <c r="G44" s="1" t="str">
        <f t="shared" si="2"/>
        <v/>
      </c>
      <c r="H44" s="1" t="str">
        <f t="shared" si="3"/>
        <v/>
      </c>
      <c r="I44" s="1" t="str">
        <f t="shared" si="4"/>
        <v/>
      </c>
      <c r="J44" s="1" t="str">
        <f t="shared" si="5"/>
        <v/>
      </c>
      <c r="K44" s="1" t="str">
        <f t="shared" si="6"/>
        <v/>
      </c>
      <c r="L44" s="1" t="str">
        <f t="shared" si="7"/>
        <v/>
      </c>
      <c r="M44" s="2" t="str">
        <f t="shared" si="8"/>
        <v/>
      </c>
      <c r="N44" s="1" t="str">
        <f t="shared" si="9"/>
        <v/>
      </c>
    </row>
    <row r="45" spans="1:14" x14ac:dyDescent="0.7">
      <c r="A45" s="3" t="str" cm="1">
        <f t="array" ref="A45">IFERROR(INDEX(貼付シート!$B$1:$B$10000,SMALL(貼付シート!$A$1:$A$10000,D45)),"")</f>
        <v/>
      </c>
      <c r="B45" s="3" t="str" cm="1">
        <f t="array" ref="B45">IFERROR(INDEX(貼付シート!$B$1:$B$10000,SMALL(貼付シート!$A$1:$A$10000,D45)+1),"")</f>
        <v/>
      </c>
      <c r="C45" s="3" t="str" cm="1">
        <f t="array" ref="C45">IFERROR(INDEX(貼付シート!$B$1:$B$10000,SMALL(貼付シート!$A$1:$A$10000,D45)+2),"")</f>
        <v/>
      </c>
      <c r="D45" s="1">
        <v>44</v>
      </c>
      <c r="E45" s="1" t="str">
        <f t="shared" si="0"/>
        <v/>
      </c>
      <c r="F45" s="1" t="str">
        <f t="shared" si="1"/>
        <v/>
      </c>
      <c r="G45" s="1" t="str">
        <f t="shared" si="2"/>
        <v/>
      </c>
      <c r="H45" s="1" t="str">
        <f t="shared" si="3"/>
        <v/>
      </c>
      <c r="I45" s="1" t="str">
        <f t="shared" si="4"/>
        <v/>
      </c>
      <c r="J45" s="1" t="str">
        <f t="shared" si="5"/>
        <v/>
      </c>
      <c r="K45" s="1" t="str">
        <f t="shared" si="6"/>
        <v/>
      </c>
      <c r="L45" s="1" t="str">
        <f t="shared" si="7"/>
        <v/>
      </c>
      <c r="M45" s="2" t="str">
        <f t="shared" si="8"/>
        <v/>
      </c>
      <c r="N45" s="1" t="str">
        <f t="shared" si="9"/>
        <v/>
      </c>
    </row>
    <row r="46" spans="1:14" x14ac:dyDescent="0.7">
      <c r="A46" s="3" t="str" cm="1">
        <f t="array" ref="A46">IFERROR(INDEX(貼付シート!$B$1:$B$10000,SMALL(貼付シート!$A$1:$A$10000,D46)),"")</f>
        <v/>
      </c>
      <c r="B46" s="3" t="str" cm="1">
        <f t="array" ref="B46">IFERROR(INDEX(貼付シート!$B$1:$B$10000,SMALL(貼付シート!$A$1:$A$10000,D46)+1),"")</f>
        <v/>
      </c>
      <c r="C46" s="3" t="str" cm="1">
        <f t="array" ref="C46">IFERROR(INDEX(貼付シート!$B$1:$B$10000,SMALL(貼付シート!$A$1:$A$10000,D46)+2),"")</f>
        <v/>
      </c>
      <c r="D46" s="1">
        <v>45</v>
      </c>
      <c r="E46" s="1" t="str">
        <f t="shared" si="0"/>
        <v/>
      </c>
      <c r="F46" s="1" t="str">
        <f t="shared" si="1"/>
        <v/>
      </c>
      <c r="G46" s="1" t="str">
        <f t="shared" si="2"/>
        <v/>
      </c>
      <c r="H46" s="1" t="str">
        <f t="shared" si="3"/>
        <v/>
      </c>
      <c r="I46" s="1" t="str">
        <f t="shared" si="4"/>
        <v/>
      </c>
      <c r="J46" s="1" t="str">
        <f t="shared" si="5"/>
        <v/>
      </c>
      <c r="K46" s="1" t="str">
        <f t="shared" si="6"/>
        <v/>
      </c>
      <c r="L46" s="1" t="str">
        <f t="shared" si="7"/>
        <v/>
      </c>
      <c r="M46" s="2" t="str">
        <f t="shared" si="8"/>
        <v/>
      </c>
      <c r="N46" s="1" t="str">
        <f t="shared" si="9"/>
        <v/>
      </c>
    </row>
    <row r="47" spans="1:14" x14ac:dyDescent="0.7">
      <c r="A47" s="3" t="str" cm="1">
        <f t="array" ref="A47">IFERROR(INDEX(貼付シート!$B$1:$B$10000,SMALL(貼付シート!$A$1:$A$10000,D47)),"")</f>
        <v/>
      </c>
      <c r="B47" s="3" t="str" cm="1">
        <f t="array" ref="B47">IFERROR(INDEX(貼付シート!$B$1:$B$10000,SMALL(貼付シート!$A$1:$A$10000,D47)+1),"")</f>
        <v/>
      </c>
      <c r="C47" s="3" t="str" cm="1">
        <f t="array" ref="C47">IFERROR(INDEX(貼付シート!$B$1:$B$10000,SMALL(貼付シート!$A$1:$A$10000,D47)+2),"")</f>
        <v/>
      </c>
      <c r="D47" s="1">
        <v>46</v>
      </c>
      <c r="E47" s="1" t="str">
        <f t="shared" si="0"/>
        <v/>
      </c>
      <c r="F47" s="1" t="str">
        <f t="shared" si="1"/>
        <v/>
      </c>
      <c r="G47" s="1" t="str">
        <f t="shared" si="2"/>
        <v/>
      </c>
      <c r="H47" s="1" t="str">
        <f t="shared" si="3"/>
        <v/>
      </c>
      <c r="I47" s="1" t="str">
        <f t="shared" si="4"/>
        <v/>
      </c>
      <c r="J47" s="1" t="str">
        <f t="shared" si="5"/>
        <v/>
      </c>
      <c r="K47" s="1" t="str">
        <f t="shared" si="6"/>
        <v/>
      </c>
      <c r="L47" s="1" t="str">
        <f t="shared" si="7"/>
        <v/>
      </c>
      <c r="M47" s="2" t="str">
        <f t="shared" si="8"/>
        <v/>
      </c>
      <c r="N47" s="1" t="str">
        <f t="shared" si="9"/>
        <v/>
      </c>
    </row>
    <row r="48" spans="1:14" x14ac:dyDescent="0.7">
      <c r="A48" s="3" t="str" cm="1">
        <f t="array" ref="A48">IFERROR(INDEX(貼付シート!$B$1:$B$10000,SMALL(貼付シート!$A$1:$A$10000,D48)),"")</f>
        <v/>
      </c>
      <c r="B48" s="3" t="str" cm="1">
        <f t="array" ref="B48">IFERROR(INDEX(貼付シート!$B$1:$B$10000,SMALL(貼付シート!$A$1:$A$10000,D48)+1),"")</f>
        <v/>
      </c>
      <c r="C48" s="3" t="str" cm="1">
        <f t="array" ref="C48">IFERROR(INDEX(貼付シート!$B$1:$B$10000,SMALL(貼付シート!$A$1:$A$10000,D48)+2),"")</f>
        <v/>
      </c>
      <c r="D48" s="1">
        <v>47</v>
      </c>
      <c r="E48" s="1" t="str">
        <f t="shared" si="0"/>
        <v/>
      </c>
      <c r="F48" s="1" t="str">
        <f t="shared" si="1"/>
        <v/>
      </c>
      <c r="G48" s="1" t="str">
        <f t="shared" si="2"/>
        <v/>
      </c>
      <c r="H48" s="1" t="str">
        <f t="shared" si="3"/>
        <v/>
      </c>
      <c r="I48" s="1" t="str">
        <f t="shared" si="4"/>
        <v/>
      </c>
      <c r="J48" s="1" t="str">
        <f t="shared" si="5"/>
        <v/>
      </c>
      <c r="K48" s="1" t="str">
        <f t="shared" si="6"/>
        <v/>
      </c>
      <c r="L48" s="1" t="str">
        <f t="shared" si="7"/>
        <v/>
      </c>
      <c r="M48" s="2" t="str">
        <f t="shared" si="8"/>
        <v/>
      </c>
      <c r="N48" s="1" t="str">
        <f t="shared" si="9"/>
        <v/>
      </c>
    </row>
    <row r="49" spans="1:14" x14ac:dyDescent="0.7">
      <c r="A49" s="3" t="str" cm="1">
        <f t="array" ref="A49">IFERROR(INDEX(貼付シート!$B$1:$B$10000,SMALL(貼付シート!$A$1:$A$10000,D49)),"")</f>
        <v/>
      </c>
      <c r="B49" s="3" t="str" cm="1">
        <f t="array" ref="B49">IFERROR(INDEX(貼付シート!$B$1:$B$10000,SMALL(貼付シート!$A$1:$A$10000,D49)+1),"")</f>
        <v/>
      </c>
      <c r="C49" s="3" t="str" cm="1">
        <f t="array" ref="C49">IFERROR(INDEX(貼付シート!$B$1:$B$10000,SMALL(貼付シート!$A$1:$A$10000,D49)+2),"")</f>
        <v/>
      </c>
      <c r="D49" s="1">
        <v>48</v>
      </c>
      <c r="E49" s="1" t="str">
        <f t="shared" si="0"/>
        <v/>
      </c>
      <c r="F49" s="1" t="str">
        <f t="shared" si="1"/>
        <v/>
      </c>
      <c r="G49" s="1" t="str">
        <f t="shared" si="2"/>
        <v/>
      </c>
      <c r="H49" s="1" t="str">
        <f t="shared" si="3"/>
        <v/>
      </c>
      <c r="I49" s="1" t="str">
        <f t="shared" si="4"/>
        <v/>
      </c>
      <c r="J49" s="1" t="str">
        <f t="shared" si="5"/>
        <v/>
      </c>
      <c r="K49" s="1" t="str">
        <f t="shared" si="6"/>
        <v/>
      </c>
      <c r="L49" s="1" t="str">
        <f t="shared" si="7"/>
        <v/>
      </c>
      <c r="M49" s="2" t="str">
        <f t="shared" si="8"/>
        <v/>
      </c>
      <c r="N49" s="1" t="str">
        <f t="shared" si="9"/>
        <v/>
      </c>
    </row>
    <row r="50" spans="1:14" x14ac:dyDescent="0.7">
      <c r="A50" s="3" t="str" cm="1">
        <f t="array" ref="A50">IFERROR(INDEX(貼付シート!$B$1:$B$10000,SMALL(貼付シート!$A$1:$A$10000,D50)),"")</f>
        <v/>
      </c>
      <c r="B50" s="3" t="str" cm="1">
        <f t="array" ref="B50">IFERROR(INDEX(貼付シート!$B$1:$B$10000,SMALL(貼付シート!$A$1:$A$10000,D50)+1),"")</f>
        <v/>
      </c>
      <c r="C50" s="3" t="str" cm="1">
        <f t="array" ref="C50">IFERROR(INDEX(貼付シート!$B$1:$B$10000,SMALL(貼付シート!$A$1:$A$10000,D50)+2),"")</f>
        <v/>
      </c>
      <c r="D50" s="1">
        <v>49</v>
      </c>
      <c r="E50" s="1" t="str">
        <f t="shared" si="0"/>
        <v/>
      </c>
      <c r="F50" s="1" t="str">
        <f t="shared" si="1"/>
        <v/>
      </c>
      <c r="G50" s="1" t="str">
        <f t="shared" si="2"/>
        <v/>
      </c>
      <c r="H50" s="1" t="str">
        <f t="shared" si="3"/>
        <v/>
      </c>
      <c r="I50" s="1" t="str">
        <f t="shared" si="4"/>
        <v/>
      </c>
      <c r="J50" s="1" t="str">
        <f t="shared" si="5"/>
        <v/>
      </c>
      <c r="K50" s="1" t="str">
        <f t="shared" si="6"/>
        <v/>
      </c>
      <c r="L50" s="1" t="str">
        <f t="shared" si="7"/>
        <v/>
      </c>
      <c r="M50" s="2" t="str">
        <f t="shared" si="8"/>
        <v/>
      </c>
      <c r="N50" s="1" t="str">
        <f t="shared" si="9"/>
        <v/>
      </c>
    </row>
    <row r="51" spans="1:14" x14ac:dyDescent="0.7">
      <c r="A51" s="3" t="str" cm="1">
        <f t="array" ref="A51">IFERROR(INDEX(貼付シート!$B$1:$B$10000,SMALL(貼付シート!$A$1:$A$10000,D51)),"")</f>
        <v/>
      </c>
      <c r="B51" s="3" t="str" cm="1">
        <f t="array" ref="B51">IFERROR(INDEX(貼付シート!$B$1:$B$10000,SMALL(貼付シート!$A$1:$A$10000,D51)+1),"")</f>
        <v/>
      </c>
      <c r="C51" s="3" t="str" cm="1">
        <f t="array" ref="C51">IFERROR(INDEX(貼付シート!$B$1:$B$10000,SMALL(貼付シート!$A$1:$A$10000,D51)+2),"")</f>
        <v/>
      </c>
      <c r="D51" s="1">
        <v>50</v>
      </c>
      <c r="E51" s="1" t="str">
        <f t="shared" si="0"/>
        <v/>
      </c>
      <c r="F51" s="1" t="str">
        <f t="shared" si="1"/>
        <v/>
      </c>
      <c r="G51" s="1" t="str">
        <f t="shared" si="2"/>
        <v/>
      </c>
      <c r="H51" s="1" t="str">
        <f t="shared" si="3"/>
        <v/>
      </c>
      <c r="I51" s="1" t="str">
        <f t="shared" si="4"/>
        <v/>
      </c>
      <c r="J51" s="1" t="str">
        <f t="shared" si="5"/>
        <v/>
      </c>
      <c r="K51" s="1" t="str">
        <f t="shared" si="6"/>
        <v/>
      </c>
      <c r="L51" s="1" t="str">
        <f t="shared" si="7"/>
        <v/>
      </c>
      <c r="M51" s="2" t="str">
        <f t="shared" si="8"/>
        <v/>
      </c>
      <c r="N51" s="1" t="str">
        <f t="shared" si="9"/>
        <v/>
      </c>
    </row>
    <row r="52" spans="1:14" x14ac:dyDescent="0.7">
      <c r="A52" s="3" t="str" cm="1">
        <f t="array" ref="A52">IFERROR(INDEX(貼付シート!$B$1:$B$10000,SMALL(貼付シート!$A$1:$A$10000,D52)),"")</f>
        <v/>
      </c>
      <c r="B52" s="3" t="str" cm="1">
        <f t="array" ref="B52">IFERROR(INDEX(貼付シート!$B$1:$B$10000,SMALL(貼付シート!$A$1:$A$10000,D52)+1),"")</f>
        <v/>
      </c>
      <c r="C52" s="3" t="str" cm="1">
        <f t="array" ref="C52">IFERROR(INDEX(貼付シート!$B$1:$B$10000,SMALL(貼付シート!$A$1:$A$10000,D52)+2),"")</f>
        <v/>
      </c>
      <c r="D52" s="1">
        <v>51</v>
      </c>
      <c r="E52" s="1" t="str">
        <f t="shared" si="0"/>
        <v/>
      </c>
      <c r="F52" s="1" t="str">
        <f t="shared" si="1"/>
        <v/>
      </c>
      <c r="G52" s="1" t="str">
        <f t="shared" si="2"/>
        <v/>
      </c>
      <c r="H52" s="1" t="str">
        <f t="shared" si="3"/>
        <v/>
      </c>
      <c r="I52" s="1" t="str">
        <f t="shared" si="4"/>
        <v/>
      </c>
      <c r="J52" s="1" t="str">
        <f t="shared" si="5"/>
        <v/>
      </c>
      <c r="K52" s="1" t="str">
        <f t="shared" si="6"/>
        <v/>
      </c>
      <c r="L52" s="1" t="str">
        <f t="shared" si="7"/>
        <v/>
      </c>
      <c r="M52" s="2" t="str">
        <f t="shared" si="8"/>
        <v/>
      </c>
      <c r="N52" s="1" t="str">
        <f t="shared" si="9"/>
        <v/>
      </c>
    </row>
    <row r="53" spans="1:14" x14ac:dyDescent="0.7">
      <c r="A53" s="3" t="str" cm="1">
        <f t="array" ref="A53">IFERROR(INDEX(貼付シート!$B$1:$B$10000,SMALL(貼付シート!$A$1:$A$10000,D53)),"")</f>
        <v/>
      </c>
      <c r="B53" s="3" t="str" cm="1">
        <f t="array" ref="B53">IFERROR(INDEX(貼付シート!$B$1:$B$10000,SMALL(貼付シート!$A$1:$A$10000,D53)+1),"")</f>
        <v/>
      </c>
      <c r="C53" s="3" t="str" cm="1">
        <f t="array" ref="C53">IFERROR(INDEX(貼付シート!$B$1:$B$10000,SMALL(貼付シート!$A$1:$A$10000,D53)+2),"")</f>
        <v/>
      </c>
      <c r="D53" s="1">
        <v>52</v>
      </c>
      <c r="E53" s="1" t="str">
        <f t="shared" si="0"/>
        <v/>
      </c>
      <c r="F53" s="1" t="str">
        <f t="shared" si="1"/>
        <v/>
      </c>
      <c r="G53" s="1" t="str">
        <f t="shared" si="2"/>
        <v/>
      </c>
      <c r="H53" s="1" t="str">
        <f t="shared" si="3"/>
        <v/>
      </c>
      <c r="I53" s="1" t="str">
        <f t="shared" si="4"/>
        <v/>
      </c>
      <c r="J53" s="1" t="str">
        <f t="shared" si="5"/>
        <v/>
      </c>
      <c r="K53" s="1" t="str">
        <f t="shared" si="6"/>
        <v/>
      </c>
      <c r="L53" s="1" t="str">
        <f t="shared" si="7"/>
        <v/>
      </c>
      <c r="M53" s="2" t="str">
        <f t="shared" si="8"/>
        <v/>
      </c>
      <c r="N53" s="1" t="str">
        <f t="shared" si="9"/>
        <v/>
      </c>
    </row>
    <row r="54" spans="1:14" x14ac:dyDescent="0.7">
      <c r="A54" s="3" t="str" cm="1">
        <f t="array" ref="A54">IFERROR(INDEX(貼付シート!$B$1:$B$10000,SMALL(貼付シート!$A$1:$A$10000,D54)),"")</f>
        <v/>
      </c>
      <c r="B54" s="3" t="str" cm="1">
        <f t="array" ref="B54">IFERROR(INDEX(貼付シート!$B$1:$B$10000,SMALL(貼付シート!$A$1:$A$10000,D54)+1),"")</f>
        <v/>
      </c>
      <c r="C54" s="3" t="str" cm="1">
        <f t="array" ref="C54">IFERROR(INDEX(貼付シート!$B$1:$B$10000,SMALL(貼付シート!$A$1:$A$10000,D54)+2),"")</f>
        <v/>
      </c>
      <c r="D54" s="1">
        <v>53</v>
      </c>
      <c r="E54" s="1" t="str">
        <f t="shared" si="0"/>
        <v/>
      </c>
      <c r="F54" s="1" t="str">
        <f t="shared" si="1"/>
        <v/>
      </c>
      <c r="G54" s="1" t="str">
        <f t="shared" si="2"/>
        <v/>
      </c>
      <c r="H54" s="1" t="str">
        <f t="shared" si="3"/>
        <v/>
      </c>
      <c r="I54" s="1" t="str">
        <f t="shared" si="4"/>
        <v/>
      </c>
      <c r="J54" s="1" t="str">
        <f t="shared" si="5"/>
        <v/>
      </c>
      <c r="K54" s="1" t="str">
        <f t="shared" si="6"/>
        <v/>
      </c>
      <c r="L54" s="1" t="str">
        <f t="shared" si="7"/>
        <v/>
      </c>
      <c r="M54" s="2" t="str">
        <f t="shared" si="8"/>
        <v/>
      </c>
      <c r="N54" s="1" t="str">
        <f t="shared" si="9"/>
        <v/>
      </c>
    </row>
    <row r="55" spans="1:14" x14ac:dyDescent="0.7">
      <c r="A55" s="3" t="str" cm="1">
        <f t="array" ref="A55">IFERROR(INDEX(貼付シート!$B$1:$B$10000,SMALL(貼付シート!$A$1:$A$10000,D55)),"")</f>
        <v/>
      </c>
      <c r="B55" s="3" t="str" cm="1">
        <f t="array" ref="B55">IFERROR(INDEX(貼付シート!$B$1:$B$10000,SMALL(貼付シート!$A$1:$A$10000,D55)+1),"")</f>
        <v/>
      </c>
      <c r="C55" s="3" t="str" cm="1">
        <f t="array" ref="C55">IFERROR(INDEX(貼付シート!$B$1:$B$10000,SMALL(貼付シート!$A$1:$A$10000,D55)+2),"")</f>
        <v/>
      </c>
      <c r="D55" s="1">
        <v>54</v>
      </c>
      <c r="E55" s="1" t="str">
        <f t="shared" si="0"/>
        <v/>
      </c>
      <c r="F55" s="1" t="str">
        <f t="shared" si="1"/>
        <v/>
      </c>
      <c r="G55" s="1" t="str">
        <f t="shared" si="2"/>
        <v/>
      </c>
      <c r="H55" s="1" t="str">
        <f t="shared" si="3"/>
        <v/>
      </c>
      <c r="I55" s="1" t="str">
        <f t="shared" si="4"/>
        <v/>
      </c>
      <c r="J55" s="1" t="str">
        <f t="shared" si="5"/>
        <v/>
      </c>
      <c r="K55" s="1" t="str">
        <f t="shared" si="6"/>
        <v/>
      </c>
      <c r="L55" s="1" t="str">
        <f t="shared" si="7"/>
        <v/>
      </c>
      <c r="M55" s="2" t="str">
        <f t="shared" si="8"/>
        <v/>
      </c>
      <c r="N55" s="1" t="str">
        <f t="shared" si="9"/>
        <v/>
      </c>
    </row>
    <row r="56" spans="1:14" x14ac:dyDescent="0.7">
      <c r="A56" s="3" t="str" cm="1">
        <f t="array" ref="A56">IFERROR(INDEX(貼付シート!$B$1:$B$10000,SMALL(貼付シート!$A$1:$A$10000,D56)),"")</f>
        <v/>
      </c>
      <c r="B56" s="3" t="str" cm="1">
        <f t="array" ref="B56">IFERROR(INDEX(貼付シート!$B$1:$B$10000,SMALL(貼付シート!$A$1:$A$10000,D56)+1),"")</f>
        <v/>
      </c>
      <c r="C56" s="3" t="str" cm="1">
        <f t="array" ref="C56">IFERROR(INDEX(貼付シート!$B$1:$B$10000,SMALL(貼付シート!$A$1:$A$10000,D56)+2),"")</f>
        <v/>
      </c>
      <c r="D56" s="1">
        <v>55</v>
      </c>
      <c r="E56" s="1" t="str">
        <f t="shared" si="0"/>
        <v/>
      </c>
      <c r="F56" s="1" t="str">
        <f t="shared" si="1"/>
        <v/>
      </c>
      <c r="G56" s="1" t="str">
        <f t="shared" si="2"/>
        <v/>
      </c>
      <c r="H56" s="1" t="str">
        <f t="shared" si="3"/>
        <v/>
      </c>
      <c r="I56" s="1" t="str">
        <f t="shared" si="4"/>
        <v/>
      </c>
      <c r="J56" s="1" t="str">
        <f t="shared" si="5"/>
        <v/>
      </c>
      <c r="K56" s="1" t="str">
        <f t="shared" si="6"/>
        <v/>
      </c>
      <c r="L56" s="1" t="str">
        <f t="shared" si="7"/>
        <v/>
      </c>
      <c r="M56" s="2" t="str">
        <f t="shared" si="8"/>
        <v/>
      </c>
      <c r="N56" s="1" t="str">
        <f t="shared" si="9"/>
        <v/>
      </c>
    </row>
    <row r="57" spans="1:14" x14ac:dyDescent="0.7">
      <c r="A57" s="3" t="str" cm="1">
        <f t="array" ref="A57">IFERROR(INDEX(貼付シート!$B$1:$B$10000,SMALL(貼付シート!$A$1:$A$10000,D57)),"")</f>
        <v/>
      </c>
      <c r="B57" s="3" t="str" cm="1">
        <f t="array" ref="B57">IFERROR(INDEX(貼付シート!$B$1:$B$10000,SMALL(貼付シート!$A$1:$A$10000,D57)+1),"")</f>
        <v/>
      </c>
      <c r="C57" s="3" t="str" cm="1">
        <f t="array" ref="C57">IFERROR(INDEX(貼付シート!$B$1:$B$10000,SMALL(貼付シート!$A$1:$A$10000,D57)+2),"")</f>
        <v/>
      </c>
      <c r="D57" s="1">
        <v>56</v>
      </c>
      <c r="E57" s="1" t="str">
        <f t="shared" si="0"/>
        <v/>
      </c>
      <c r="F57" s="1" t="str">
        <f t="shared" si="1"/>
        <v/>
      </c>
      <c r="G57" s="1" t="str">
        <f t="shared" si="2"/>
        <v/>
      </c>
      <c r="H57" s="1" t="str">
        <f t="shared" si="3"/>
        <v/>
      </c>
      <c r="I57" s="1" t="str">
        <f t="shared" si="4"/>
        <v/>
      </c>
      <c r="J57" s="1" t="str">
        <f t="shared" si="5"/>
        <v/>
      </c>
      <c r="K57" s="1" t="str">
        <f t="shared" si="6"/>
        <v/>
      </c>
      <c r="L57" s="1" t="str">
        <f t="shared" si="7"/>
        <v/>
      </c>
      <c r="M57" s="2" t="str">
        <f t="shared" si="8"/>
        <v/>
      </c>
      <c r="N57" s="1" t="str">
        <f t="shared" si="9"/>
        <v/>
      </c>
    </row>
    <row r="58" spans="1:14" x14ac:dyDescent="0.7">
      <c r="A58" s="3" t="str" cm="1">
        <f t="array" ref="A58">IFERROR(INDEX(貼付シート!$B$1:$B$10000,SMALL(貼付シート!$A$1:$A$10000,D58)),"")</f>
        <v/>
      </c>
      <c r="B58" s="3" t="str" cm="1">
        <f t="array" ref="B58">IFERROR(INDEX(貼付シート!$B$1:$B$10000,SMALL(貼付シート!$A$1:$A$10000,D58)+1),"")</f>
        <v/>
      </c>
      <c r="C58" s="3" t="str" cm="1">
        <f t="array" ref="C58">IFERROR(INDEX(貼付シート!$B$1:$B$10000,SMALL(貼付シート!$A$1:$A$10000,D58)+2),"")</f>
        <v/>
      </c>
      <c r="D58" s="1">
        <v>57</v>
      </c>
      <c r="E58" s="1" t="str">
        <f t="shared" si="0"/>
        <v/>
      </c>
      <c r="F58" s="1" t="str">
        <f t="shared" si="1"/>
        <v/>
      </c>
      <c r="G58" s="1" t="str">
        <f t="shared" si="2"/>
        <v/>
      </c>
      <c r="H58" s="1" t="str">
        <f t="shared" si="3"/>
        <v/>
      </c>
      <c r="I58" s="1" t="str">
        <f t="shared" si="4"/>
        <v/>
      </c>
      <c r="J58" s="1" t="str">
        <f t="shared" si="5"/>
        <v/>
      </c>
      <c r="K58" s="1" t="str">
        <f t="shared" si="6"/>
        <v/>
      </c>
      <c r="L58" s="1" t="str">
        <f t="shared" si="7"/>
        <v/>
      </c>
      <c r="M58" s="2" t="str">
        <f t="shared" si="8"/>
        <v/>
      </c>
      <c r="N58" s="1" t="str">
        <f t="shared" si="9"/>
        <v/>
      </c>
    </row>
    <row r="59" spans="1:14" x14ac:dyDescent="0.7">
      <c r="A59" s="3" t="str" cm="1">
        <f t="array" ref="A59">IFERROR(INDEX(貼付シート!$B$1:$B$10000,SMALL(貼付シート!$A$1:$A$10000,D59)),"")</f>
        <v/>
      </c>
      <c r="B59" s="3" t="str" cm="1">
        <f t="array" ref="B59">IFERROR(INDEX(貼付シート!$B$1:$B$10000,SMALL(貼付シート!$A$1:$A$10000,D59)+1),"")</f>
        <v/>
      </c>
      <c r="C59" s="3" t="str" cm="1">
        <f t="array" ref="C59">IFERROR(INDEX(貼付シート!$B$1:$B$10000,SMALL(貼付シート!$A$1:$A$10000,D59)+2),"")</f>
        <v/>
      </c>
      <c r="D59" s="1">
        <v>58</v>
      </c>
      <c r="E59" s="1" t="str">
        <f t="shared" si="0"/>
        <v/>
      </c>
      <c r="F59" s="1" t="str">
        <f t="shared" si="1"/>
        <v/>
      </c>
      <c r="G59" s="1" t="str">
        <f t="shared" si="2"/>
        <v/>
      </c>
      <c r="H59" s="1" t="str">
        <f t="shared" si="3"/>
        <v/>
      </c>
      <c r="I59" s="1" t="str">
        <f t="shared" si="4"/>
        <v/>
      </c>
      <c r="J59" s="1" t="str">
        <f t="shared" si="5"/>
        <v/>
      </c>
      <c r="K59" s="1" t="str">
        <f t="shared" si="6"/>
        <v/>
      </c>
      <c r="L59" s="1" t="str">
        <f t="shared" si="7"/>
        <v/>
      </c>
      <c r="M59" s="2" t="str">
        <f t="shared" si="8"/>
        <v/>
      </c>
      <c r="N59" s="1" t="str">
        <f t="shared" si="9"/>
        <v/>
      </c>
    </row>
    <row r="60" spans="1:14" x14ac:dyDescent="0.7">
      <c r="A60" s="3" t="str" cm="1">
        <f t="array" ref="A60">IFERROR(INDEX(貼付シート!$B$1:$B$10000,SMALL(貼付シート!$A$1:$A$10000,D60)),"")</f>
        <v/>
      </c>
      <c r="B60" s="3" t="str" cm="1">
        <f t="array" ref="B60">IFERROR(INDEX(貼付シート!$B$1:$B$10000,SMALL(貼付シート!$A$1:$A$10000,D60)+1),"")</f>
        <v/>
      </c>
      <c r="C60" s="3" t="str" cm="1">
        <f t="array" ref="C60">IFERROR(INDEX(貼付シート!$B$1:$B$10000,SMALL(貼付シート!$A$1:$A$10000,D60)+2),"")</f>
        <v/>
      </c>
      <c r="D60" s="1">
        <v>59</v>
      </c>
      <c r="E60" s="1" t="str">
        <f t="shared" si="0"/>
        <v/>
      </c>
      <c r="F60" s="1" t="str">
        <f t="shared" si="1"/>
        <v/>
      </c>
      <c r="G60" s="1" t="str">
        <f t="shared" si="2"/>
        <v/>
      </c>
      <c r="H60" s="1" t="str">
        <f t="shared" si="3"/>
        <v/>
      </c>
      <c r="I60" s="1" t="str">
        <f t="shared" si="4"/>
        <v/>
      </c>
      <c r="J60" s="1" t="str">
        <f t="shared" si="5"/>
        <v/>
      </c>
      <c r="K60" s="1" t="str">
        <f t="shared" si="6"/>
        <v/>
      </c>
      <c r="L60" s="1" t="str">
        <f t="shared" si="7"/>
        <v/>
      </c>
      <c r="M60" s="2" t="str">
        <f t="shared" si="8"/>
        <v/>
      </c>
      <c r="N60" s="1" t="str">
        <f t="shared" si="9"/>
        <v/>
      </c>
    </row>
    <row r="61" spans="1:14" x14ac:dyDescent="0.7">
      <c r="A61" s="3" t="str" cm="1">
        <f t="array" ref="A61">IFERROR(INDEX(貼付シート!$B$1:$B$10000,SMALL(貼付シート!$A$1:$A$10000,D61)),"")</f>
        <v/>
      </c>
      <c r="B61" s="3" t="str" cm="1">
        <f t="array" ref="B61">IFERROR(INDEX(貼付シート!$B$1:$B$10000,SMALL(貼付シート!$A$1:$A$10000,D61)+1),"")</f>
        <v/>
      </c>
      <c r="C61" s="3" t="str" cm="1">
        <f t="array" ref="C61">IFERROR(INDEX(貼付シート!$B$1:$B$10000,SMALL(貼付シート!$A$1:$A$10000,D61)+2),"")</f>
        <v/>
      </c>
      <c r="D61" s="1">
        <v>60</v>
      </c>
      <c r="E61" s="1" t="str">
        <f t="shared" si="0"/>
        <v/>
      </c>
      <c r="F61" s="1" t="str">
        <f t="shared" si="1"/>
        <v/>
      </c>
      <c r="G61" s="1" t="str">
        <f t="shared" si="2"/>
        <v/>
      </c>
      <c r="H61" s="1" t="str">
        <f t="shared" si="3"/>
        <v/>
      </c>
      <c r="I61" s="1" t="str">
        <f t="shared" si="4"/>
        <v/>
      </c>
      <c r="J61" s="1" t="str">
        <f t="shared" si="5"/>
        <v/>
      </c>
      <c r="K61" s="1" t="str">
        <f t="shared" si="6"/>
        <v/>
      </c>
      <c r="L61" s="1" t="str">
        <f t="shared" si="7"/>
        <v/>
      </c>
      <c r="M61" s="2" t="str">
        <f t="shared" si="8"/>
        <v/>
      </c>
      <c r="N61" s="1" t="str">
        <f t="shared" si="9"/>
        <v/>
      </c>
    </row>
    <row r="62" spans="1:14" x14ac:dyDescent="0.7">
      <c r="A62" s="3" t="str" cm="1">
        <f t="array" ref="A62">IFERROR(INDEX(貼付シート!$B$1:$B$10000,SMALL(貼付シート!$A$1:$A$10000,D62)),"")</f>
        <v/>
      </c>
      <c r="B62" s="3" t="str" cm="1">
        <f t="array" ref="B62">IFERROR(INDEX(貼付シート!$B$1:$B$10000,SMALL(貼付シート!$A$1:$A$10000,D62)+1),"")</f>
        <v/>
      </c>
      <c r="C62" s="3" t="str" cm="1">
        <f t="array" ref="C62">IFERROR(INDEX(貼付シート!$B$1:$B$10000,SMALL(貼付シート!$A$1:$A$10000,D62)+2),"")</f>
        <v/>
      </c>
      <c r="D62" s="1">
        <v>61</v>
      </c>
      <c r="E62" s="1" t="str">
        <f t="shared" si="0"/>
        <v/>
      </c>
      <c r="F62" s="1" t="str">
        <f t="shared" si="1"/>
        <v/>
      </c>
      <c r="G62" s="1" t="str">
        <f t="shared" si="2"/>
        <v/>
      </c>
      <c r="H62" s="1" t="str">
        <f t="shared" si="3"/>
        <v/>
      </c>
      <c r="I62" s="1" t="str">
        <f t="shared" si="4"/>
        <v/>
      </c>
      <c r="J62" s="1" t="str">
        <f t="shared" si="5"/>
        <v/>
      </c>
      <c r="K62" s="1" t="str">
        <f t="shared" si="6"/>
        <v/>
      </c>
      <c r="L62" s="1" t="str">
        <f t="shared" si="7"/>
        <v/>
      </c>
      <c r="M62" s="2" t="str">
        <f t="shared" si="8"/>
        <v/>
      </c>
      <c r="N62" s="1" t="str">
        <f t="shared" si="9"/>
        <v/>
      </c>
    </row>
    <row r="63" spans="1:14" x14ac:dyDescent="0.7">
      <c r="A63" s="3" t="str" cm="1">
        <f t="array" ref="A63">IFERROR(INDEX(貼付シート!$B$1:$B$10000,SMALL(貼付シート!$A$1:$A$10000,D63)),"")</f>
        <v/>
      </c>
      <c r="B63" s="3" t="str" cm="1">
        <f t="array" ref="B63">IFERROR(INDEX(貼付シート!$B$1:$B$10000,SMALL(貼付シート!$A$1:$A$10000,D63)+1),"")</f>
        <v/>
      </c>
      <c r="C63" s="3" t="str" cm="1">
        <f t="array" ref="C63">IFERROR(INDEX(貼付シート!$B$1:$B$10000,SMALL(貼付シート!$A$1:$A$10000,D63)+2),"")</f>
        <v/>
      </c>
      <c r="D63" s="1">
        <v>62</v>
      </c>
      <c r="E63" s="1" t="str">
        <f t="shared" si="0"/>
        <v/>
      </c>
      <c r="F63" s="1" t="str">
        <f t="shared" si="1"/>
        <v/>
      </c>
      <c r="G63" s="1" t="str">
        <f t="shared" si="2"/>
        <v/>
      </c>
      <c r="H63" s="1" t="str">
        <f t="shared" si="3"/>
        <v/>
      </c>
      <c r="I63" s="1" t="str">
        <f t="shared" si="4"/>
        <v/>
      </c>
      <c r="J63" s="1" t="str">
        <f t="shared" si="5"/>
        <v/>
      </c>
      <c r="K63" s="1" t="str">
        <f t="shared" si="6"/>
        <v/>
      </c>
      <c r="L63" s="1" t="str">
        <f t="shared" si="7"/>
        <v/>
      </c>
      <c r="M63" s="2" t="str">
        <f t="shared" si="8"/>
        <v/>
      </c>
      <c r="N63" s="1" t="str">
        <f t="shared" si="9"/>
        <v/>
      </c>
    </row>
    <row r="64" spans="1:14" x14ac:dyDescent="0.7">
      <c r="A64" s="3" t="str" cm="1">
        <f t="array" ref="A64">IFERROR(INDEX(貼付シート!$B$1:$B$10000,SMALL(貼付シート!$A$1:$A$10000,D64)),"")</f>
        <v/>
      </c>
      <c r="B64" s="3" t="str" cm="1">
        <f t="array" ref="B64">IFERROR(INDEX(貼付シート!$B$1:$B$10000,SMALL(貼付シート!$A$1:$A$10000,D64)+1),"")</f>
        <v/>
      </c>
      <c r="C64" s="3" t="str" cm="1">
        <f t="array" ref="C64">IFERROR(INDEX(貼付シート!$B$1:$B$10000,SMALL(貼付シート!$A$1:$A$10000,D64)+2),"")</f>
        <v/>
      </c>
      <c r="D64" s="1">
        <v>63</v>
      </c>
      <c r="E64" s="1" t="str">
        <f t="shared" si="0"/>
        <v/>
      </c>
      <c r="F64" s="1" t="str">
        <f t="shared" si="1"/>
        <v/>
      </c>
      <c r="G64" s="1" t="str">
        <f t="shared" si="2"/>
        <v/>
      </c>
      <c r="H64" s="1" t="str">
        <f t="shared" si="3"/>
        <v/>
      </c>
      <c r="I64" s="1" t="str">
        <f t="shared" si="4"/>
        <v/>
      </c>
      <c r="J64" s="1" t="str">
        <f t="shared" si="5"/>
        <v/>
      </c>
      <c r="K64" s="1" t="str">
        <f t="shared" si="6"/>
        <v/>
      </c>
      <c r="L64" s="1" t="str">
        <f t="shared" si="7"/>
        <v/>
      </c>
      <c r="M64" s="2" t="str">
        <f t="shared" si="8"/>
        <v/>
      </c>
      <c r="N64" s="1" t="str">
        <f t="shared" si="9"/>
        <v/>
      </c>
    </row>
    <row r="65" spans="1:14" x14ac:dyDescent="0.7">
      <c r="A65" s="3" t="str" cm="1">
        <f t="array" ref="A65">IFERROR(INDEX(貼付シート!$B$1:$B$10000,SMALL(貼付シート!$A$1:$A$10000,D65)),"")</f>
        <v/>
      </c>
      <c r="B65" s="3" t="str" cm="1">
        <f t="array" ref="B65">IFERROR(INDEX(貼付シート!$B$1:$B$10000,SMALL(貼付シート!$A$1:$A$10000,D65)+1),"")</f>
        <v/>
      </c>
      <c r="C65" s="3" t="str" cm="1">
        <f t="array" ref="C65">IFERROR(INDEX(貼付シート!$B$1:$B$10000,SMALL(貼付シート!$A$1:$A$10000,D65)+2),"")</f>
        <v/>
      </c>
      <c r="D65" s="1">
        <v>64</v>
      </c>
      <c r="E65" s="1" t="str">
        <f t="shared" si="0"/>
        <v/>
      </c>
      <c r="F65" s="1" t="str">
        <f t="shared" si="1"/>
        <v/>
      </c>
      <c r="G65" s="1" t="str">
        <f t="shared" si="2"/>
        <v/>
      </c>
      <c r="H65" s="1" t="str">
        <f t="shared" si="3"/>
        <v/>
      </c>
      <c r="I65" s="1" t="str">
        <f t="shared" si="4"/>
        <v/>
      </c>
      <c r="J65" s="1" t="str">
        <f t="shared" si="5"/>
        <v/>
      </c>
      <c r="K65" s="1" t="str">
        <f t="shared" si="6"/>
        <v/>
      </c>
      <c r="L65" s="1" t="str">
        <f t="shared" si="7"/>
        <v/>
      </c>
      <c r="M65" s="2" t="str">
        <f t="shared" si="8"/>
        <v/>
      </c>
      <c r="N65" s="1" t="str">
        <f t="shared" si="9"/>
        <v/>
      </c>
    </row>
    <row r="66" spans="1:14" x14ac:dyDescent="0.7">
      <c r="A66" s="3" t="str" cm="1">
        <f t="array" ref="A66">IFERROR(INDEX(貼付シート!$B$1:$B$10000,SMALL(貼付シート!$A$1:$A$10000,D66)),"")</f>
        <v/>
      </c>
      <c r="B66" s="3" t="str" cm="1">
        <f t="array" ref="B66">IFERROR(INDEX(貼付シート!$B$1:$B$10000,SMALL(貼付シート!$A$1:$A$10000,D66)+1),"")</f>
        <v/>
      </c>
      <c r="C66" s="3" t="str" cm="1">
        <f t="array" ref="C66">IFERROR(INDEX(貼付シート!$B$1:$B$10000,SMALL(貼付シート!$A$1:$A$10000,D66)+2),"")</f>
        <v/>
      </c>
      <c r="D66" s="1">
        <v>65</v>
      </c>
      <c r="E66" s="1" t="str">
        <f t="shared" si="0"/>
        <v/>
      </c>
      <c r="F66" s="1" t="str">
        <f t="shared" si="1"/>
        <v/>
      </c>
      <c r="G66" s="1" t="str">
        <f t="shared" si="2"/>
        <v/>
      </c>
      <c r="H66" s="1" t="str">
        <f t="shared" si="3"/>
        <v/>
      </c>
      <c r="I66" s="1" t="str">
        <f t="shared" si="4"/>
        <v/>
      </c>
      <c r="J66" s="1" t="str">
        <f t="shared" si="5"/>
        <v/>
      </c>
      <c r="K66" s="1" t="str">
        <f t="shared" si="6"/>
        <v/>
      </c>
      <c r="L66" s="1" t="str">
        <f t="shared" si="7"/>
        <v/>
      </c>
      <c r="M66" s="2" t="str">
        <f t="shared" si="8"/>
        <v/>
      </c>
      <c r="N66" s="1" t="str">
        <f t="shared" si="9"/>
        <v/>
      </c>
    </row>
    <row r="67" spans="1:14" x14ac:dyDescent="0.7">
      <c r="A67" s="3" t="str" cm="1">
        <f t="array" ref="A67">IFERROR(INDEX(貼付シート!$B$1:$B$10000,SMALL(貼付シート!$A$1:$A$10000,D67)),"")</f>
        <v/>
      </c>
      <c r="B67" s="3" t="str" cm="1">
        <f t="array" ref="B67">IFERROR(INDEX(貼付シート!$B$1:$B$10000,SMALL(貼付シート!$A$1:$A$10000,D67)+1),"")</f>
        <v/>
      </c>
      <c r="C67" s="3" t="str" cm="1">
        <f t="array" ref="C67">IFERROR(INDEX(貼付シート!$B$1:$B$10000,SMALL(貼付シート!$A$1:$A$10000,D67)+2),"")</f>
        <v/>
      </c>
      <c r="D67" s="1">
        <v>66</v>
      </c>
      <c r="E67" s="1" t="str">
        <f t="shared" ref="E67:E101" si="10">MIDB(A67,1,9)</f>
        <v/>
      </c>
      <c r="F67" s="1" t="str">
        <f t="shared" ref="F67:F101" si="11">TRIM(MIDB(A67,11,22))</f>
        <v/>
      </c>
      <c r="G67" s="1" t="str">
        <f t="shared" ref="G67:G101" si="12">MIDB(A67,32,2)</f>
        <v/>
      </c>
      <c r="H67" s="1" t="str">
        <f t="shared" ref="H67:H101" si="13">MIDB(A67,37,10)</f>
        <v/>
      </c>
      <c r="I67" s="1" t="str">
        <f t="shared" ref="I67:I101" si="14">MIDB(B67,11,8)</f>
        <v/>
      </c>
      <c r="J67" s="1" t="str">
        <f t="shared" ref="J67:J101" si="15">TRIM(MIDB(B67,20,45))</f>
        <v/>
      </c>
      <c r="K67" s="1" t="str">
        <f t="shared" ref="K67:K101" si="16">MIDB(C67,11,6)</f>
        <v/>
      </c>
      <c r="L67" s="1" t="str">
        <f t="shared" ref="L67:L101" si="17">TRIM(MIDB(C67,18,19))</f>
        <v/>
      </c>
      <c r="M67" s="2" t="str">
        <f t="shared" ref="M67:M101" si="18">IF(A67="","",DATEVALUE(MIDB(C67,37,10)))</f>
        <v/>
      </c>
      <c r="N67" s="1" t="str">
        <f t="shared" ref="N67:N101" si="19">MIDB(C67,48,2)</f>
        <v/>
      </c>
    </row>
    <row r="68" spans="1:14" x14ac:dyDescent="0.7">
      <c r="A68" s="3" t="str" cm="1">
        <f t="array" ref="A68">IFERROR(INDEX(貼付シート!$B$1:$B$10000,SMALL(貼付シート!$A$1:$A$10000,D68)),"")</f>
        <v/>
      </c>
      <c r="B68" s="3" t="str" cm="1">
        <f t="array" ref="B68">IFERROR(INDEX(貼付シート!$B$1:$B$10000,SMALL(貼付シート!$A$1:$A$10000,D68)+1),"")</f>
        <v/>
      </c>
      <c r="C68" s="3" t="str" cm="1">
        <f t="array" ref="C68">IFERROR(INDEX(貼付シート!$B$1:$B$10000,SMALL(貼付シート!$A$1:$A$10000,D68)+2),"")</f>
        <v/>
      </c>
      <c r="D68" s="1">
        <v>67</v>
      </c>
      <c r="E68" s="1" t="str">
        <f t="shared" si="10"/>
        <v/>
      </c>
      <c r="F68" s="1" t="str">
        <f t="shared" si="11"/>
        <v/>
      </c>
      <c r="G68" s="1" t="str">
        <f t="shared" si="12"/>
        <v/>
      </c>
      <c r="H68" s="1" t="str">
        <f t="shared" si="13"/>
        <v/>
      </c>
      <c r="I68" s="1" t="str">
        <f t="shared" si="14"/>
        <v/>
      </c>
      <c r="J68" s="1" t="str">
        <f t="shared" si="15"/>
        <v/>
      </c>
      <c r="K68" s="1" t="str">
        <f t="shared" si="16"/>
        <v/>
      </c>
      <c r="L68" s="1" t="str">
        <f t="shared" si="17"/>
        <v/>
      </c>
      <c r="M68" s="2" t="str">
        <f t="shared" si="18"/>
        <v/>
      </c>
      <c r="N68" s="1" t="str">
        <f t="shared" si="19"/>
        <v/>
      </c>
    </row>
    <row r="69" spans="1:14" x14ac:dyDescent="0.7">
      <c r="A69" s="3" t="str" cm="1">
        <f t="array" ref="A69">IFERROR(INDEX(貼付シート!$B$1:$B$10000,SMALL(貼付シート!$A$1:$A$10000,D69)),"")</f>
        <v/>
      </c>
      <c r="B69" s="3" t="str" cm="1">
        <f t="array" ref="B69">IFERROR(INDEX(貼付シート!$B$1:$B$10000,SMALL(貼付シート!$A$1:$A$10000,D69)+1),"")</f>
        <v/>
      </c>
      <c r="C69" s="3" t="str" cm="1">
        <f t="array" ref="C69">IFERROR(INDEX(貼付シート!$B$1:$B$10000,SMALL(貼付シート!$A$1:$A$10000,D69)+2),"")</f>
        <v/>
      </c>
      <c r="D69" s="1">
        <v>68</v>
      </c>
      <c r="E69" s="1" t="str">
        <f t="shared" si="10"/>
        <v/>
      </c>
      <c r="F69" s="1" t="str">
        <f t="shared" si="11"/>
        <v/>
      </c>
      <c r="G69" s="1" t="str">
        <f t="shared" si="12"/>
        <v/>
      </c>
      <c r="H69" s="1" t="str">
        <f t="shared" si="13"/>
        <v/>
      </c>
      <c r="I69" s="1" t="str">
        <f t="shared" si="14"/>
        <v/>
      </c>
      <c r="J69" s="1" t="str">
        <f t="shared" si="15"/>
        <v/>
      </c>
      <c r="K69" s="1" t="str">
        <f t="shared" si="16"/>
        <v/>
      </c>
      <c r="L69" s="1" t="str">
        <f t="shared" si="17"/>
        <v/>
      </c>
      <c r="M69" s="2" t="str">
        <f t="shared" si="18"/>
        <v/>
      </c>
      <c r="N69" s="1" t="str">
        <f t="shared" si="19"/>
        <v/>
      </c>
    </row>
    <row r="70" spans="1:14" x14ac:dyDescent="0.7">
      <c r="A70" s="3" t="str" cm="1">
        <f t="array" ref="A70">IFERROR(INDEX(貼付シート!$B$1:$B$10000,SMALL(貼付シート!$A$1:$A$10000,D70)),"")</f>
        <v/>
      </c>
      <c r="B70" s="3" t="str" cm="1">
        <f t="array" ref="B70">IFERROR(INDEX(貼付シート!$B$1:$B$10000,SMALL(貼付シート!$A$1:$A$10000,D70)+1),"")</f>
        <v/>
      </c>
      <c r="C70" s="3" t="str" cm="1">
        <f t="array" ref="C70">IFERROR(INDEX(貼付シート!$B$1:$B$10000,SMALL(貼付シート!$A$1:$A$10000,D70)+2),"")</f>
        <v/>
      </c>
      <c r="D70" s="1">
        <v>69</v>
      </c>
      <c r="E70" s="1" t="str">
        <f t="shared" si="10"/>
        <v/>
      </c>
      <c r="F70" s="1" t="str">
        <f t="shared" si="11"/>
        <v/>
      </c>
      <c r="G70" s="1" t="str">
        <f t="shared" si="12"/>
        <v/>
      </c>
      <c r="H70" s="1" t="str">
        <f t="shared" si="13"/>
        <v/>
      </c>
      <c r="I70" s="1" t="str">
        <f t="shared" si="14"/>
        <v/>
      </c>
      <c r="J70" s="1" t="str">
        <f t="shared" si="15"/>
        <v/>
      </c>
      <c r="K70" s="1" t="str">
        <f t="shared" si="16"/>
        <v/>
      </c>
      <c r="L70" s="1" t="str">
        <f t="shared" si="17"/>
        <v/>
      </c>
      <c r="M70" s="2" t="str">
        <f t="shared" si="18"/>
        <v/>
      </c>
      <c r="N70" s="1" t="str">
        <f t="shared" si="19"/>
        <v/>
      </c>
    </row>
    <row r="71" spans="1:14" x14ac:dyDescent="0.7">
      <c r="A71" s="3" t="str" cm="1">
        <f t="array" ref="A71">IFERROR(INDEX(貼付シート!$B$1:$B$10000,SMALL(貼付シート!$A$1:$A$10000,D71)),"")</f>
        <v/>
      </c>
      <c r="B71" s="3" t="str" cm="1">
        <f t="array" ref="B71">IFERROR(INDEX(貼付シート!$B$1:$B$10000,SMALL(貼付シート!$A$1:$A$10000,D71)+1),"")</f>
        <v/>
      </c>
      <c r="C71" s="3" t="str" cm="1">
        <f t="array" ref="C71">IFERROR(INDEX(貼付シート!$B$1:$B$10000,SMALL(貼付シート!$A$1:$A$10000,D71)+2),"")</f>
        <v/>
      </c>
      <c r="D71" s="1">
        <v>70</v>
      </c>
      <c r="E71" s="1" t="str">
        <f t="shared" si="10"/>
        <v/>
      </c>
      <c r="F71" s="1" t="str">
        <f t="shared" si="11"/>
        <v/>
      </c>
      <c r="G71" s="1" t="str">
        <f t="shared" si="12"/>
        <v/>
      </c>
      <c r="H71" s="1" t="str">
        <f t="shared" si="13"/>
        <v/>
      </c>
      <c r="I71" s="1" t="str">
        <f t="shared" si="14"/>
        <v/>
      </c>
      <c r="J71" s="1" t="str">
        <f t="shared" si="15"/>
        <v/>
      </c>
      <c r="K71" s="1" t="str">
        <f t="shared" si="16"/>
        <v/>
      </c>
      <c r="L71" s="1" t="str">
        <f t="shared" si="17"/>
        <v/>
      </c>
      <c r="M71" s="2" t="str">
        <f t="shared" si="18"/>
        <v/>
      </c>
      <c r="N71" s="1" t="str">
        <f t="shared" si="19"/>
        <v/>
      </c>
    </row>
    <row r="72" spans="1:14" x14ac:dyDescent="0.7">
      <c r="A72" s="3" t="str" cm="1">
        <f t="array" ref="A72">IFERROR(INDEX(貼付シート!$B$1:$B$10000,SMALL(貼付シート!$A$1:$A$10000,D72)),"")</f>
        <v/>
      </c>
      <c r="B72" s="3" t="str" cm="1">
        <f t="array" ref="B72">IFERROR(INDEX(貼付シート!$B$1:$B$10000,SMALL(貼付シート!$A$1:$A$10000,D72)+1),"")</f>
        <v/>
      </c>
      <c r="C72" s="3" t="str" cm="1">
        <f t="array" ref="C72">IFERROR(INDEX(貼付シート!$B$1:$B$10000,SMALL(貼付シート!$A$1:$A$10000,D72)+2),"")</f>
        <v/>
      </c>
      <c r="D72" s="1">
        <v>71</v>
      </c>
      <c r="E72" s="1" t="str">
        <f t="shared" si="10"/>
        <v/>
      </c>
      <c r="F72" s="1" t="str">
        <f t="shared" si="11"/>
        <v/>
      </c>
      <c r="G72" s="1" t="str">
        <f t="shared" si="12"/>
        <v/>
      </c>
      <c r="H72" s="1" t="str">
        <f t="shared" si="13"/>
        <v/>
      </c>
      <c r="I72" s="1" t="str">
        <f t="shared" si="14"/>
        <v/>
      </c>
      <c r="J72" s="1" t="str">
        <f t="shared" si="15"/>
        <v/>
      </c>
      <c r="K72" s="1" t="str">
        <f t="shared" si="16"/>
        <v/>
      </c>
      <c r="L72" s="1" t="str">
        <f t="shared" si="17"/>
        <v/>
      </c>
      <c r="M72" s="2" t="str">
        <f t="shared" si="18"/>
        <v/>
      </c>
      <c r="N72" s="1" t="str">
        <f t="shared" si="19"/>
        <v/>
      </c>
    </row>
    <row r="73" spans="1:14" x14ac:dyDescent="0.7">
      <c r="A73" s="3" t="str" cm="1">
        <f t="array" ref="A73">IFERROR(INDEX(貼付シート!$B$1:$B$10000,SMALL(貼付シート!$A$1:$A$10000,D73)),"")</f>
        <v/>
      </c>
      <c r="B73" s="3" t="str" cm="1">
        <f t="array" ref="B73">IFERROR(INDEX(貼付シート!$B$1:$B$10000,SMALL(貼付シート!$A$1:$A$10000,D73)+1),"")</f>
        <v/>
      </c>
      <c r="C73" s="3" t="str" cm="1">
        <f t="array" ref="C73">IFERROR(INDEX(貼付シート!$B$1:$B$10000,SMALL(貼付シート!$A$1:$A$10000,D73)+2),"")</f>
        <v/>
      </c>
      <c r="D73" s="1">
        <v>72</v>
      </c>
      <c r="E73" s="1" t="str">
        <f t="shared" si="10"/>
        <v/>
      </c>
      <c r="F73" s="1" t="str">
        <f t="shared" si="11"/>
        <v/>
      </c>
      <c r="G73" s="1" t="str">
        <f t="shared" si="12"/>
        <v/>
      </c>
      <c r="H73" s="1" t="str">
        <f t="shared" si="13"/>
        <v/>
      </c>
      <c r="I73" s="1" t="str">
        <f t="shared" si="14"/>
        <v/>
      </c>
      <c r="J73" s="1" t="str">
        <f t="shared" si="15"/>
        <v/>
      </c>
      <c r="K73" s="1" t="str">
        <f t="shared" si="16"/>
        <v/>
      </c>
      <c r="L73" s="1" t="str">
        <f t="shared" si="17"/>
        <v/>
      </c>
      <c r="M73" s="2" t="str">
        <f t="shared" si="18"/>
        <v/>
      </c>
      <c r="N73" s="1" t="str">
        <f t="shared" si="19"/>
        <v/>
      </c>
    </row>
    <row r="74" spans="1:14" x14ac:dyDescent="0.7">
      <c r="A74" s="3" t="str" cm="1">
        <f t="array" ref="A74">IFERROR(INDEX(貼付シート!$B$1:$B$10000,SMALL(貼付シート!$A$1:$A$10000,D74)),"")</f>
        <v/>
      </c>
      <c r="B74" s="3" t="str" cm="1">
        <f t="array" ref="B74">IFERROR(INDEX(貼付シート!$B$1:$B$10000,SMALL(貼付シート!$A$1:$A$10000,D74)+1),"")</f>
        <v/>
      </c>
      <c r="C74" s="3" t="str" cm="1">
        <f t="array" ref="C74">IFERROR(INDEX(貼付シート!$B$1:$B$10000,SMALL(貼付シート!$A$1:$A$10000,D74)+2),"")</f>
        <v/>
      </c>
      <c r="D74" s="1">
        <v>73</v>
      </c>
      <c r="E74" s="1" t="str">
        <f t="shared" si="10"/>
        <v/>
      </c>
      <c r="F74" s="1" t="str">
        <f t="shared" si="11"/>
        <v/>
      </c>
      <c r="G74" s="1" t="str">
        <f t="shared" si="12"/>
        <v/>
      </c>
      <c r="H74" s="1" t="str">
        <f t="shared" si="13"/>
        <v/>
      </c>
      <c r="I74" s="1" t="str">
        <f t="shared" si="14"/>
        <v/>
      </c>
      <c r="J74" s="1" t="str">
        <f t="shared" si="15"/>
        <v/>
      </c>
      <c r="K74" s="1" t="str">
        <f t="shared" si="16"/>
        <v/>
      </c>
      <c r="L74" s="1" t="str">
        <f t="shared" si="17"/>
        <v/>
      </c>
      <c r="M74" s="2" t="str">
        <f t="shared" si="18"/>
        <v/>
      </c>
      <c r="N74" s="1" t="str">
        <f t="shared" si="19"/>
        <v/>
      </c>
    </row>
    <row r="75" spans="1:14" x14ac:dyDescent="0.7">
      <c r="A75" s="3" t="str" cm="1">
        <f t="array" ref="A75">IFERROR(INDEX(貼付シート!$B$1:$B$10000,SMALL(貼付シート!$A$1:$A$10000,D75)),"")</f>
        <v/>
      </c>
      <c r="B75" s="3" t="str" cm="1">
        <f t="array" ref="B75">IFERROR(INDEX(貼付シート!$B$1:$B$10000,SMALL(貼付シート!$A$1:$A$10000,D75)+1),"")</f>
        <v/>
      </c>
      <c r="C75" s="3" t="str" cm="1">
        <f t="array" ref="C75">IFERROR(INDEX(貼付シート!$B$1:$B$10000,SMALL(貼付シート!$A$1:$A$10000,D75)+2),"")</f>
        <v/>
      </c>
      <c r="D75" s="1">
        <v>74</v>
      </c>
      <c r="E75" s="1" t="str">
        <f t="shared" si="10"/>
        <v/>
      </c>
      <c r="F75" s="1" t="str">
        <f t="shared" si="11"/>
        <v/>
      </c>
      <c r="G75" s="1" t="str">
        <f t="shared" si="12"/>
        <v/>
      </c>
      <c r="H75" s="1" t="str">
        <f t="shared" si="13"/>
        <v/>
      </c>
      <c r="I75" s="1" t="str">
        <f t="shared" si="14"/>
        <v/>
      </c>
      <c r="J75" s="1" t="str">
        <f t="shared" si="15"/>
        <v/>
      </c>
      <c r="K75" s="1" t="str">
        <f t="shared" si="16"/>
        <v/>
      </c>
      <c r="L75" s="1" t="str">
        <f t="shared" si="17"/>
        <v/>
      </c>
      <c r="M75" s="2" t="str">
        <f t="shared" si="18"/>
        <v/>
      </c>
      <c r="N75" s="1" t="str">
        <f t="shared" si="19"/>
        <v/>
      </c>
    </row>
    <row r="76" spans="1:14" x14ac:dyDescent="0.7">
      <c r="A76" s="3" t="str" cm="1">
        <f t="array" ref="A76">IFERROR(INDEX(貼付シート!$B$1:$B$10000,SMALL(貼付シート!$A$1:$A$10000,D76)),"")</f>
        <v/>
      </c>
      <c r="B76" s="3" t="str" cm="1">
        <f t="array" ref="B76">IFERROR(INDEX(貼付シート!$B$1:$B$10000,SMALL(貼付シート!$A$1:$A$10000,D76)+1),"")</f>
        <v/>
      </c>
      <c r="C76" s="3" t="str" cm="1">
        <f t="array" ref="C76">IFERROR(INDEX(貼付シート!$B$1:$B$10000,SMALL(貼付シート!$A$1:$A$10000,D76)+2),"")</f>
        <v/>
      </c>
      <c r="D76" s="1">
        <v>75</v>
      </c>
      <c r="E76" s="1" t="str">
        <f t="shared" si="10"/>
        <v/>
      </c>
      <c r="F76" s="1" t="str">
        <f t="shared" si="11"/>
        <v/>
      </c>
      <c r="G76" s="1" t="str">
        <f t="shared" si="12"/>
        <v/>
      </c>
      <c r="H76" s="1" t="str">
        <f t="shared" si="13"/>
        <v/>
      </c>
      <c r="I76" s="1" t="str">
        <f t="shared" si="14"/>
        <v/>
      </c>
      <c r="J76" s="1" t="str">
        <f t="shared" si="15"/>
        <v/>
      </c>
      <c r="K76" s="1" t="str">
        <f t="shared" si="16"/>
        <v/>
      </c>
      <c r="L76" s="1" t="str">
        <f t="shared" si="17"/>
        <v/>
      </c>
      <c r="M76" s="2" t="str">
        <f t="shared" si="18"/>
        <v/>
      </c>
      <c r="N76" s="1" t="str">
        <f t="shared" si="19"/>
        <v/>
      </c>
    </row>
    <row r="77" spans="1:14" x14ac:dyDescent="0.7">
      <c r="A77" s="3" t="str" cm="1">
        <f t="array" ref="A77">IFERROR(INDEX(貼付シート!$B$1:$B$10000,SMALL(貼付シート!$A$1:$A$10000,D77)),"")</f>
        <v/>
      </c>
      <c r="B77" s="3" t="str" cm="1">
        <f t="array" ref="B77">IFERROR(INDEX(貼付シート!$B$1:$B$10000,SMALL(貼付シート!$A$1:$A$10000,D77)+1),"")</f>
        <v/>
      </c>
      <c r="C77" s="3" t="str" cm="1">
        <f t="array" ref="C77">IFERROR(INDEX(貼付シート!$B$1:$B$10000,SMALL(貼付シート!$A$1:$A$10000,D77)+2),"")</f>
        <v/>
      </c>
      <c r="D77" s="1">
        <v>76</v>
      </c>
      <c r="E77" s="1" t="str">
        <f t="shared" si="10"/>
        <v/>
      </c>
      <c r="F77" s="1" t="str">
        <f t="shared" si="11"/>
        <v/>
      </c>
      <c r="G77" s="1" t="str">
        <f t="shared" si="12"/>
        <v/>
      </c>
      <c r="H77" s="1" t="str">
        <f t="shared" si="13"/>
        <v/>
      </c>
      <c r="I77" s="1" t="str">
        <f t="shared" si="14"/>
        <v/>
      </c>
      <c r="J77" s="1" t="str">
        <f t="shared" si="15"/>
        <v/>
      </c>
      <c r="K77" s="1" t="str">
        <f t="shared" si="16"/>
        <v/>
      </c>
      <c r="L77" s="1" t="str">
        <f t="shared" si="17"/>
        <v/>
      </c>
      <c r="M77" s="2" t="str">
        <f t="shared" si="18"/>
        <v/>
      </c>
      <c r="N77" s="1" t="str">
        <f t="shared" si="19"/>
        <v/>
      </c>
    </row>
    <row r="78" spans="1:14" x14ac:dyDescent="0.7">
      <c r="A78" s="3" t="str" cm="1">
        <f t="array" ref="A78">IFERROR(INDEX(貼付シート!$B$1:$B$10000,SMALL(貼付シート!$A$1:$A$10000,D78)),"")</f>
        <v/>
      </c>
      <c r="B78" s="3" t="str" cm="1">
        <f t="array" ref="B78">IFERROR(INDEX(貼付シート!$B$1:$B$10000,SMALL(貼付シート!$A$1:$A$10000,D78)+1),"")</f>
        <v/>
      </c>
      <c r="C78" s="3" t="str" cm="1">
        <f t="array" ref="C78">IFERROR(INDEX(貼付シート!$B$1:$B$10000,SMALL(貼付シート!$A$1:$A$10000,D78)+2),"")</f>
        <v/>
      </c>
      <c r="D78" s="1">
        <v>77</v>
      </c>
      <c r="E78" s="1" t="str">
        <f t="shared" si="10"/>
        <v/>
      </c>
      <c r="F78" s="1" t="str">
        <f t="shared" si="11"/>
        <v/>
      </c>
      <c r="G78" s="1" t="str">
        <f t="shared" si="12"/>
        <v/>
      </c>
      <c r="H78" s="1" t="str">
        <f t="shared" si="13"/>
        <v/>
      </c>
      <c r="I78" s="1" t="str">
        <f t="shared" si="14"/>
        <v/>
      </c>
      <c r="J78" s="1" t="str">
        <f t="shared" si="15"/>
        <v/>
      </c>
      <c r="K78" s="1" t="str">
        <f t="shared" si="16"/>
        <v/>
      </c>
      <c r="L78" s="1" t="str">
        <f t="shared" si="17"/>
        <v/>
      </c>
      <c r="M78" s="2" t="str">
        <f t="shared" si="18"/>
        <v/>
      </c>
      <c r="N78" s="1" t="str">
        <f t="shared" si="19"/>
        <v/>
      </c>
    </row>
    <row r="79" spans="1:14" x14ac:dyDescent="0.7">
      <c r="A79" s="3" t="str" cm="1">
        <f t="array" ref="A79">IFERROR(INDEX(貼付シート!$B$1:$B$10000,SMALL(貼付シート!$A$1:$A$10000,D79)),"")</f>
        <v/>
      </c>
      <c r="B79" s="3" t="str" cm="1">
        <f t="array" ref="B79">IFERROR(INDEX(貼付シート!$B$1:$B$10000,SMALL(貼付シート!$A$1:$A$10000,D79)+1),"")</f>
        <v/>
      </c>
      <c r="C79" s="3" t="str" cm="1">
        <f t="array" ref="C79">IFERROR(INDEX(貼付シート!$B$1:$B$10000,SMALL(貼付シート!$A$1:$A$10000,D79)+2),"")</f>
        <v/>
      </c>
      <c r="D79" s="1">
        <v>78</v>
      </c>
      <c r="E79" s="1" t="str">
        <f t="shared" si="10"/>
        <v/>
      </c>
      <c r="F79" s="1" t="str">
        <f t="shared" si="11"/>
        <v/>
      </c>
      <c r="G79" s="1" t="str">
        <f t="shared" si="12"/>
        <v/>
      </c>
      <c r="H79" s="1" t="str">
        <f t="shared" si="13"/>
        <v/>
      </c>
      <c r="I79" s="1" t="str">
        <f t="shared" si="14"/>
        <v/>
      </c>
      <c r="J79" s="1" t="str">
        <f t="shared" si="15"/>
        <v/>
      </c>
      <c r="K79" s="1" t="str">
        <f t="shared" si="16"/>
        <v/>
      </c>
      <c r="L79" s="1" t="str">
        <f t="shared" si="17"/>
        <v/>
      </c>
      <c r="M79" s="2" t="str">
        <f t="shared" si="18"/>
        <v/>
      </c>
      <c r="N79" s="1" t="str">
        <f t="shared" si="19"/>
        <v/>
      </c>
    </row>
    <row r="80" spans="1:14" x14ac:dyDescent="0.7">
      <c r="A80" s="3" t="str" cm="1">
        <f t="array" ref="A80">IFERROR(INDEX(貼付シート!$B$1:$B$10000,SMALL(貼付シート!$A$1:$A$10000,D80)),"")</f>
        <v/>
      </c>
      <c r="B80" s="3" t="str" cm="1">
        <f t="array" ref="B80">IFERROR(INDEX(貼付シート!$B$1:$B$10000,SMALL(貼付シート!$A$1:$A$10000,D80)+1),"")</f>
        <v/>
      </c>
      <c r="C80" s="3" t="str" cm="1">
        <f t="array" ref="C80">IFERROR(INDEX(貼付シート!$B$1:$B$10000,SMALL(貼付シート!$A$1:$A$10000,D80)+2),"")</f>
        <v/>
      </c>
      <c r="D80" s="1">
        <v>79</v>
      </c>
      <c r="E80" s="1" t="str">
        <f t="shared" si="10"/>
        <v/>
      </c>
      <c r="F80" s="1" t="str">
        <f t="shared" si="11"/>
        <v/>
      </c>
      <c r="G80" s="1" t="str">
        <f t="shared" si="12"/>
        <v/>
      </c>
      <c r="H80" s="1" t="str">
        <f t="shared" si="13"/>
        <v/>
      </c>
      <c r="I80" s="1" t="str">
        <f t="shared" si="14"/>
        <v/>
      </c>
      <c r="J80" s="1" t="str">
        <f t="shared" si="15"/>
        <v/>
      </c>
      <c r="K80" s="1" t="str">
        <f t="shared" si="16"/>
        <v/>
      </c>
      <c r="L80" s="1" t="str">
        <f t="shared" si="17"/>
        <v/>
      </c>
      <c r="M80" s="2" t="str">
        <f t="shared" si="18"/>
        <v/>
      </c>
      <c r="N80" s="1" t="str">
        <f t="shared" si="19"/>
        <v/>
      </c>
    </row>
    <row r="81" spans="1:14" x14ac:dyDescent="0.7">
      <c r="A81" s="3" t="str" cm="1">
        <f t="array" ref="A81">IFERROR(INDEX(貼付シート!$B$1:$B$10000,SMALL(貼付シート!$A$1:$A$10000,D81)),"")</f>
        <v/>
      </c>
      <c r="B81" s="3" t="str" cm="1">
        <f t="array" ref="B81">IFERROR(INDEX(貼付シート!$B$1:$B$10000,SMALL(貼付シート!$A$1:$A$10000,D81)+1),"")</f>
        <v/>
      </c>
      <c r="C81" s="3" t="str" cm="1">
        <f t="array" ref="C81">IFERROR(INDEX(貼付シート!$B$1:$B$10000,SMALL(貼付シート!$A$1:$A$10000,D81)+2),"")</f>
        <v/>
      </c>
      <c r="D81" s="1">
        <v>80</v>
      </c>
      <c r="E81" s="1" t="str">
        <f t="shared" si="10"/>
        <v/>
      </c>
      <c r="F81" s="1" t="str">
        <f t="shared" si="11"/>
        <v/>
      </c>
      <c r="G81" s="1" t="str">
        <f t="shared" si="12"/>
        <v/>
      </c>
      <c r="H81" s="1" t="str">
        <f t="shared" si="13"/>
        <v/>
      </c>
      <c r="I81" s="1" t="str">
        <f t="shared" si="14"/>
        <v/>
      </c>
      <c r="J81" s="1" t="str">
        <f t="shared" si="15"/>
        <v/>
      </c>
      <c r="K81" s="1" t="str">
        <f t="shared" si="16"/>
        <v/>
      </c>
      <c r="L81" s="1" t="str">
        <f t="shared" si="17"/>
        <v/>
      </c>
      <c r="M81" s="2" t="str">
        <f t="shared" si="18"/>
        <v/>
      </c>
      <c r="N81" s="1" t="str">
        <f t="shared" si="19"/>
        <v/>
      </c>
    </row>
    <row r="82" spans="1:14" x14ac:dyDescent="0.7">
      <c r="A82" s="3" t="str" cm="1">
        <f t="array" ref="A82">IFERROR(INDEX(貼付シート!$B$1:$B$10000,SMALL(貼付シート!$A$1:$A$10000,D82)),"")</f>
        <v/>
      </c>
      <c r="B82" s="3" t="str" cm="1">
        <f t="array" ref="B82">IFERROR(INDEX(貼付シート!$B$1:$B$10000,SMALL(貼付シート!$A$1:$A$10000,D82)+1),"")</f>
        <v/>
      </c>
      <c r="C82" s="3" t="str" cm="1">
        <f t="array" ref="C82">IFERROR(INDEX(貼付シート!$B$1:$B$10000,SMALL(貼付シート!$A$1:$A$10000,D82)+2),"")</f>
        <v/>
      </c>
      <c r="D82" s="1">
        <v>81</v>
      </c>
      <c r="E82" s="1" t="str">
        <f t="shared" si="10"/>
        <v/>
      </c>
      <c r="F82" s="1" t="str">
        <f t="shared" si="11"/>
        <v/>
      </c>
      <c r="G82" s="1" t="str">
        <f t="shared" si="12"/>
        <v/>
      </c>
      <c r="H82" s="1" t="str">
        <f t="shared" si="13"/>
        <v/>
      </c>
      <c r="I82" s="1" t="str">
        <f t="shared" si="14"/>
        <v/>
      </c>
      <c r="J82" s="1" t="str">
        <f t="shared" si="15"/>
        <v/>
      </c>
      <c r="K82" s="1" t="str">
        <f t="shared" si="16"/>
        <v/>
      </c>
      <c r="L82" s="1" t="str">
        <f t="shared" si="17"/>
        <v/>
      </c>
      <c r="M82" s="2" t="str">
        <f t="shared" si="18"/>
        <v/>
      </c>
      <c r="N82" s="1" t="str">
        <f t="shared" si="19"/>
        <v/>
      </c>
    </row>
    <row r="83" spans="1:14" x14ac:dyDescent="0.7">
      <c r="A83" s="3" t="str" cm="1">
        <f t="array" ref="A83">IFERROR(INDEX(貼付シート!$B$1:$B$10000,SMALL(貼付シート!$A$1:$A$10000,D83)),"")</f>
        <v/>
      </c>
      <c r="B83" s="3" t="str" cm="1">
        <f t="array" ref="B83">IFERROR(INDEX(貼付シート!$B$1:$B$10000,SMALL(貼付シート!$A$1:$A$10000,D83)+1),"")</f>
        <v/>
      </c>
      <c r="C83" s="3" t="str" cm="1">
        <f t="array" ref="C83">IFERROR(INDEX(貼付シート!$B$1:$B$10000,SMALL(貼付シート!$A$1:$A$10000,D83)+2),"")</f>
        <v/>
      </c>
      <c r="D83" s="1">
        <v>82</v>
      </c>
      <c r="E83" s="1" t="str">
        <f t="shared" si="10"/>
        <v/>
      </c>
      <c r="F83" s="1" t="str">
        <f t="shared" si="11"/>
        <v/>
      </c>
      <c r="G83" s="1" t="str">
        <f t="shared" si="12"/>
        <v/>
      </c>
      <c r="H83" s="1" t="str">
        <f t="shared" si="13"/>
        <v/>
      </c>
      <c r="I83" s="1" t="str">
        <f t="shared" si="14"/>
        <v/>
      </c>
      <c r="J83" s="1" t="str">
        <f t="shared" si="15"/>
        <v/>
      </c>
      <c r="K83" s="1" t="str">
        <f t="shared" si="16"/>
        <v/>
      </c>
      <c r="L83" s="1" t="str">
        <f t="shared" si="17"/>
        <v/>
      </c>
      <c r="M83" s="2" t="str">
        <f t="shared" si="18"/>
        <v/>
      </c>
      <c r="N83" s="1" t="str">
        <f t="shared" si="19"/>
        <v/>
      </c>
    </row>
    <row r="84" spans="1:14" x14ac:dyDescent="0.7">
      <c r="A84" s="3" t="str" cm="1">
        <f t="array" ref="A84">IFERROR(INDEX(貼付シート!$B$1:$B$10000,SMALL(貼付シート!$A$1:$A$10000,D84)),"")</f>
        <v/>
      </c>
      <c r="B84" s="3" t="str" cm="1">
        <f t="array" ref="B84">IFERROR(INDEX(貼付シート!$B$1:$B$10000,SMALL(貼付シート!$A$1:$A$10000,D84)+1),"")</f>
        <v/>
      </c>
      <c r="C84" s="3" t="str" cm="1">
        <f t="array" ref="C84">IFERROR(INDEX(貼付シート!$B$1:$B$10000,SMALL(貼付シート!$A$1:$A$10000,D84)+2),"")</f>
        <v/>
      </c>
      <c r="D84" s="1">
        <v>83</v>
      </c>
      <c r="E84" s="1" t="str">
        <f t="shared" si="10"/>
        <v/>
      </c>
      <c r="F84" s="1" t="str">
        <f t="shared" si="11"/>
        <v/>
      </c>
      <c r="G84" s="1" t="str">
        <f t="shared" si="12"/>
        <v/>
      </c>
      <c r="H84" s="1" t="str">
        <f t="shared" si="13"/>
        <v/>
      </c>
      <c r="I84" s="1" t="str">
        <f t="shared" si="14"/>
        <v/>
      </c>
      <c r="J84" s="1" t="str">
        <f t="shared" si="15"/>
        <v/>
      </c>
      <c r="K84" s="1" t="str">
        <f t="shared" si="16"/>
        <v/>
      </c>
      <c r="L84" s="1" t="str">
        <f t="shared" si="17"/>
        <v/>
      </c>
      <c r="M84" s="2" t="str">
        <f t="shared" si="18"/>
        <v/>
      </c>
      <c r="N84" s="1" t="str">
        <f t="shared" si="19"/>
        <v/>
      </c>
    </row>
    <row r="85" spans="1:14" x14ac:dyDescent="0.7">
      <c r="A85" s="3" t="str" cm="1">
        <f t="array" ref="A85">IFERROR(INDEX(貼付シート!$B$1:$B$10000,SMALL(貼付シート!$A$1:$A$10000,D85)),"")</f>
        <v/>
      </c>
      <c r="B85" s="3" t="str" cm="1">
        <f t="array" ref="B85">IFERROR(INDEX(貼付シート!$B$1:$B$10000,SMALL(貼付シート!$A$1:$A$10000,D85)+1),"")</f>
        <v/>
      </c>
      <c r="C85" s="3" t="str" cm="1">
        <f t="array" ref="C85">IFERROR(INDEX(貼付シート!$B$1:$B$10000,SMALL(貼付シート!$A$1:$A$10000,D85)+2),"")</f>
        <v/>
      </c>
      <c r="D85" s="1">
        <v>84</v>
      </c>
      <c r="E85" s="1" t="str">
        <f t="shared" si="10"/>
        <v/>
      </c>
      <c r="F85" s="1" t="str">
        <f t="shared" si="11"/>
        <v/>
      </c>
      <c r="G85" s="1" t="str">
        <f t="shared" si="12"/>
        <v/>
      </c>
      <c r="H85" s="1" t="str">
        <f t="shared" si="13"/>
        <v/>
      </c>
      <c r="I85" s="1" t="str">
        <f t="shared" si="14"/>
        <v/>
      </c>
      <c r="J85" s="1" t="str">
        <f t="shared" si="15"/>
        <v/>
      </c>
      <c r="K85" s="1" t="str">
        <f t="shared" si="16"/>
        <v/>
      </c>
      <c r="L85" s="1" t="str">
        <f t="shared" si="17"/>
        <v/>
      </c>
      <c r="M85" s="2" t="str">
        <f t="shared" si="18"/>
        <v/>
      </c>
      <c r="N85" s="1" t="str">
        <f t="shared" si="19"/>
        <v/>
      </c>
    </row>
    <row r="86" spans="1:14" x14ac:dyDescent="0.7">
      <c r="A86" s="3" t="str" cm="1">
        <f t="array" ref="A86">IFERROR(INDEX(貼付シート!$B$1:$B$10000,SMALL(貼付シート!$A$1:$A$10000,D86)),"")</f>
        <v/>
      </c>
      <c r="B86" s="3" t="str" cm="1">
        <f t="array" ref="B86">IFERROR(INDEX(貼付シート!$B$1:$B$10000,SMALL(貼付シート!$A$1:$A$10000,D86)+1),"")</f>
        <v/>
      </c>
      <c r="C86" s="3" t="str" cm="1">
        <f t="array" ref="C86">IFERROR(INDEX(貼付シート!$B$1:$B$10000,SMALL(貼付シート!$A$1:$A$10000,D86)+2),"")</f>
        <v/>
      </c>
      <c r="D86" s="1">
        <v>85</v>
      </c>
      <c r="E86" s="1" t="str">
        <f t="shared" si="10"/>
        <v/>
      </c>
      <c r="F86" s="1" t="str">
        <f t="shared" si="11"/>
        <v/>
      </c>
      <c r="G86" s="1" t="str">
        <f t="shared" si="12"/>
        <v/>
      </c>
      <c r="H86" s="1" t="str">
        <f t="shared" si="13"/>
        <v/>
      </c>
      <c r="I86" s="1" t="str">
        <f t="shared" si="14"/>
        <v/>
      </c>
      <c r="J86" s="1" t="str">
        <f t="shared" si="15"/>
        <v/>
      </c>
      <c r="K86" s="1" t="str">
        <f t="shared" si="16"/>
        <v/>
      </c>
      <c r="L86" s="1" t="str">
        <f t="shared" si="17"/>
        <v/>
      </c>
      <c r="M86" s="2" t="str">
        <f t="shared" si="18"/>
        <v/>
      </c>
      <c r="N86" s="1" t="str">
        <f t="shared" si="19"/>
        <v/>
      </c>
    </row>
    <row r="87" spans="1:14" x14ac:dyDescent="0.7">
      <c r="A87" s="3" t="str" cm="1">
        <f t="array" ref="A87">IFERROR(INDEX(貼付シート!$B$1:$B$10000,SMALL(貼付シート!$A$1:$A$10000,D87)),"")</f>
        <v/>
      </c>
      <c r="B87" s="3" t="str" cm="1">
        <f t="array" ref="B87">IFERROR(INDEX(貼付シート!$B$1:$B$10000,SMALL(貼付シート!$A$1:$A$10000,D87)+1),"")</f>
        <v/>
      </c>
      <c r="C87" s="3" t="str" cm="1">
        <f t="array" ref="C87">IFERROR(INDEX(貼付シート!$B$1:$B$10000,SMALL(貼付シート!$A$1:$A$10000,D87)+2),"")</f>
        <v/>
      </c>
      <c r="D87" s="1">
        <v>86</v>
      </c>
      <c r="E87" s="1" t="str">
        <f t="shared" si="10"/>
        <v/>
      </c>
      <c r="F87" s="1" t="str">
        <f t="shared" si="11"/>
        <v/>
      </c>
      <c r="G87" s="1" t="str">
        <f t="shared" si="12"/>
        <v/>
      </c>
      <c r="H87" s="1" t="str">
        <f t="shared" si="13"/>
        <v/>
      </c>
      <c r="I87" s="1" t="str">
        <f t="shared" si="14"/>
        <v/>
      </c>
      <c r="J87" s="1" t="str">
        <f t="shared" si="15"/>
        <v/>
      </c>
      <c r="K87" s="1" t="str">
        <f t="shared" si="16"/>
        <v/>
      </c>
      <c r="L87" s="1" t="str">
        <f t="shared" si="17"/>
        <v/>
      </c>
      <c r="M87" s="2" t="str">
        <f t="shared" si="18"/>
        <v/>
      </c>
      <c r="N87" s="1" t="str">
        <f t="shared" si="19"/>
        <v/>
      </c>
    </row>
    <row r="88" spans="1:14" x14ac:dyDescent="0.7">
      <c r="A88" s="3" t="str" cm="1">
        <f t="array" ref="A88">IFERROR(INDEX(貼付シート!$B$1:$B$10000,SMALL(貼付シート!$A$1:$A$10000,D88)),"")</f>
        <v/>
      </c>
      <c r="B88" s="3" t="str" cm="1">
        <f t="array" ref="B88">IFERROR(INDEX(貼付シート!$B$1:$B$10000,SMALL(貼付シート!$A$1:$A$10000,D88)+1),"")</f>
        <v/>
      </c>
      <c r="C88" s="3" t="str" cm="1">
        <f t="array" ref="C88">IFERROR(INDEX(貼付シート!$B$1:$B$10000,SMALL(貼付シート!$A$1:$A$10000,D88)+2),"")</f>
        <v/>
      </c>
      <c r="D88" s="1">
        <v>87</v>
      </c>
      <c r="E88" s="1" t="str">
        <f t="shared" si="10"/>
        <v/>
      </c>
      <c r="F88" s="1" t="str">
        <f t="shared" si="11"/>
        <v/>
      </c>
      <c r="G88" s="1" t="str">
        <f t="shared" si="12"/>
        <v/>
      </c>
      <c r="H88" s="1" t="str">
        <f t="shared" si="13"/>
        <v/>
      </c>
      <c r="I88" s="1" t="str">
        <f t="shared" si="14"/>
        <v/>
      </c>
      <c r="J88" s="1" t="str">
        <f t="shared" si="15"/>
        <v/>
      </c>
      <c r="K88" s="1" t="str">
        <f t="shared" si="16"/>
        <v/>
      </c>
      <c r="L88" s="1" t="str">
        <f t="shared" si="17"/>
        <v/>
      </c>
      <c r="M88" s="2" t="str">
        <f t="shared" si="18"/>
        <v/>
      </c>
      <c r="N88" s="1" t="str">
        <f t="shared" si="19"/>
        <v/>
      </c>
    </row>
    <row r="89" spans="1:14" x14ac:dyDescent="0.7">
      <c r="A89" s="3" t="str" cm="1">
        <f t="array" ref="A89">IFERROR(INDEX(貼付シート!$B$1:$B$10000,SMALL(貼付シート!$A$1:$A$10000,D89)),"")</f>
        <v/>
      </c>
      <c r="B89" s="3" t="str" cm="1">
        <f t="array" ref="B89">IFERROR(INDEX(貼付シート!$B$1:$B$10000,SMALL(貼付シート!$A$1:$A$10000,D89)+1),"")</f>
        <v/>
      </c>
      <c r="C89" s="3" t="str" cm="1">
        <f t="array" ref="C89">IFERROR(INDEX(貼付シート!$B$1:$B$10000,SMALL(貼付シート!$A$1:$A$10000,D89)+2),"")</f>
        <v/>
      </c>
      <c r="D89" s="1">
        <v>88</v>
      </c>
      <c r="E89" s="1" t="str">
        <f t="shared" si="10"/>
        <v/>
      </c>
      <c r="F89" s="1" t="str">
        <f t="shared" si="11"/>
        <v/>
      </c>
      <c r="G89" s="1" t="str">
        <f t="shared" si="12"/>
        <v/>
      </c>
      <c r="H89" s="1" t="str">
        <f t="shared" si="13"/>
        <v/>
      </c>
      <c r="I89" s="1" t="str">
        <f t="shared" si="14"/>
        <v/>
      </c>
      <c r="J89" s="1" t="str">
        <f t="shared" si="15"/>
        <v/>
      </c>
      <c r="K89" s="1" t="str">
        <f t="shared" si="16"/>
        <v/>
      </c>
      <c r="L89" s="1" t="str">
        <f t="shared" si="17"/>
        <v/>
      </c>
      <c r="M89" s="2" t="str">
        <f t="shared" si="18"/>
        <v/>
      </c>
      <c r="N89" s="1" t="str">
        <f t="shared" si="19"/>
        <v/>
      </c>
    </row>
    <row r="90" spans="1:14" x14ac:dyDescent="0.7">
      <c r="A90" s="3" t="str" cm="1">
        <f t="array" ref="A90">IFERROR(INDEX(貼付シート!$B$1:$B$10000,SMALL(貼付シート!$A$1:$A$10000,D90)),"")</f>
        <v/>
      </c>
      <c r="B90" s="3" t="str" cm="1">
        <f t="array" ref="B90">IFERROR(INDEX(貼付シート!$B$1:$B$10000,SMALL(貼付シート!$A$1:$A$10000,D90)+1),"")</f>
        <v/>
      </c>
      <c r="C90" s="3" t="str" cm="1">
        <f t="array" ref="C90">IFERROR(INDEX(貼付シート!$B$1:$B$10000,SMALL(貼付シート!$A$1:$A$10000,D90)+2),"")</f>
        <v/>
      </c>
      <c r="D90" s="1">
        <v>89</v>
      </c>
      <c r="E90" s="1" t="str">
        <f t="shared" si="10"/>
        <v/>
      </c>
      <c r="F90" s="1" t="str">
        <f t="shared" si="11"/>
        <v/>
      </c>
      <c r="G90" s="1" t="str">
        <f t="shared" si="12"/>
        <v/>
      </c>
      <c r="H90" s="1" t="str">
        <f t="shared" si="13"/>
        <v/>
      </c>
      <c r="I90" s="1" t="str">
        <f t="shared" si="14"/>
        <v/>
      </c>
      <c r="J90" s="1" t="str">
        <f t="shared" si="15"/>
        <v/>
      </c>
      <c r="K90" s="1" t="str">
        <f t="shared" si="16"/>
        <v/>
      </c>
      <c r="L90" s="1" t="str">
        <f t="shared" si="17"/>
        <v/>
      </c>
      <c r="M90" s="2" t="str">
        <f t="shared" si="18"/>
        <v/>
      </c>
      <c r="N90" s="1" t="str">
        <f t="shared" si="19"/>
        <v/>
      </c>
    </row>
    <row r="91" spans="1:14" x14ac:dyDescent="0.7">
      <c r="A91" s="3" t="str" cm="1">
        <f t="array" ref="A91">IFERROR(INDEX(貼付シート!$B$1:$B$10000,SMALL(貼付シート!$A$1:$A$10000,D91)),"")</f>
        <v/>
      </c>
      <c r="B91" s="3" t="str" cm="1">
        <f t="array" ref="B91">IFERROR(INDEX(貼付シート!$B$1:$B$10000,SMALL(貼付シート!$A$1:$A$10000,D91)+1),"")</f>
        <v/>
      </c>
      <c r="C91" s="3" t="str" cm="1">
        <f t="array" ref="C91">IFERROR(INDEX(貼付シート!$B$1:$B$10000,SMALL(貼付シート!$A$1:$A$10000,D91)+2),"")</f>
        <v/>
      </c>
      <c r="D91" s="1">
        <v>90</v>
      </c>
      <c r="E91" s="1" t="str">
        <f t="shared" si="10"/>
        <v/>
      </c>
      <c r="F91" s="1" t="str">
        <f t="shared" si="11"/>
        <v/>
      </c>
      <c r="G91" s="1" t="str">
        <f t="shared" si="12"/>
        <v/>
      </c>
      <c r="H91" s="1" t="str">
        <f t="shared" si="13"/>
        <v/>
      </c>
      <c r="I91" s="1" t="str">
        <f t="shared" si="14"/>
        <v/>
      </c>
      <c r="J91" s="1" t="str">
        <f t="shared" si="15"/>
        <v/>
      </c>
      <c r="K91" s="1" t="str">
        <f t="shared" si="16"/>
        <v/>
      </c>
      <c r="L91" s="1" t="str">
        <f t="shared" si="17"/>
        <v/>
      </c>
      <c r="M91" s="2" t="str">
        <f t="shared" si="18"/>
        <v/>
      </c>
      <c r="N91" s="1" t="str">
        <f t="shared" si="19"/>
        <v/>
      </c>
    </row>
    <row r="92" spans="1:14" x14ac:dyDescent="0.7">
      <c r="A92" s="3" t="str" cm="1">
        <f t="array" ref="A92">IFERROR(INDEX(貼付シート!$B$1:$B$10000,SMALL(貼付シート!$A$1:$A$10000,D92)),"")</f>
        <v/>
      </c>
      <c r="B92" s="3" t="str" cm="1">
        <f t="array" ref="B92">IFERROR(INDEX(貼付シート!$B$1:$B$10000,SMALL(貼付シート!$A$1:$A$10000,D92)+1),"")</f>
        <v/>
      </c>
      <c r="C92" s="3" t="str" cm="1">
        <f t="array" ref="C92">IFERROR(INDEX(貼付シート!$B$1:$B$10000,SMALL(貼付シート!$A$1:$A$10000,D92)+2),"")</f>
        <v/>
      </c>
      <c r="D92" s="1">
        <v>91</v>
      </c>
      <c r="E92" s="1" t="str">
        <f t="shared" si="10"/>
        <v/>
      </c>
      <c r="F92" s="1" t="str">
        <f t="shared" si="11"/>
        <v/>
      </c>
      <c r="G92" s="1" t="str">
        <f t="shared" si="12"/>
        <v/>
      </c>
      <c r="H92" s="1" t="str">
        <f t="shared" si="13"/>
        <v/>
      </c>
      <c r="I92" s="1" t="str">
        <f t="shared" si="14"/>
        <v/>
      </c>
      <c r="J92" s="1" t="str">
        <f t="shared" si="15"/>
        <v/>
      </c>
      <c r="K92" s="1" t="str">
        <f t="shared" si="16"/>
        <v/>
      </c>
      <c r="L92" s="1" t="str">
        <f t="shared" si="17"/>
        <v/>
      </c>
      <c r="M92" s="2" t="str">
        <f t="shared" si="18"/>
        <v/>
      </c>
      <c r="N92" s="1" t="str">
        <f t="shared" si="19"/>
        <v/>
      </c>
    </row>
    <row r="93" spans="1:14" x14ac:dyDescent="0.7">
      <c r="A93" s="3" t="str" cm="1">
        <f t="array" ref="A93">IFERROR(INDEX(貼付シート!$B$1:$B$10000,SMALL(貼付シート!$A$1:$A$10000,D93)),"")</f>
        <v/>
      </c>
      <c r="B93" s="3" t="str" cm="1">
        <f t="array" ref="B93">IFERROR(INDEX(貼付シート!$B$1:$B$10000,SMALL(貼付シート!$A$1:$A$10000,D93)+1),"")</f>
        <v/>
      </c>
      <c r="C93" s="3" t="str" cm="1">
        <f t="array" ref="C93">IFERROR(INDEX(貼付シート!$B$1:$B$10000,SMALL(貼付シート!$A$1:$A$10000,D93)+2),"")</f>
        <v/>
      </c>
      <c r="D93" s="1">
        <v>92</v>
      </c>
      <c r="E93" s="1" t="str">
        <f t="shared" si="10"/>
        <v/>
      </c>
      <c r="F93" s="1" t="str">
        <f t="shared" si="11"/>
        <v/>
      </c>
      <c r="G93" s="1" t="str">
        <f t="shared" si="12"/>
        <v/>
      </c>
      <c r="H93" s="1" t="str">
        <f t="shared" si="13"/>
        <v/>
      </c>
      <c r="I93" s="1" t="str">
        <f t="shared" si="14"/>
        <v/>
      </c>
      <c r="J93" s="1" t="str">
        <f t="shared" si="15"/>
        <v/>
      </c>
      <c r="K93" s="1" t="str">
        <f t="shared" si="16"/>
        <v/>
      </c>
      <c r="L93" s="1" t="str">
        <f t="shared" si="17"/>
        <v/>
      </c>
      <c r="M93" s="2" t="str">
        <f t="shared" si="18"/>
        <v/>
      </c>
      <c r="N93" s="1" t="str">
        <f t="shared" si="19"/>
        <v/>
      </c>
    </row>
    <row r="94" spans="1:14" x14ac:dyDescent="0.7">
      <c r="A94" s="3" t="str" cm="1">
        <f t="array" ref="A94">IFERROR(INDEX(貼付シート!$B$1:$B$10000,SMALL(貼付シート!$A$1:$A$10000,D94)),"")</f>
        <v/>
      </c>
      <c r="B94" s="3" t="str" cm="1">
        <f t="array" ref="B94">IFERROR(INDEX(貼付シート!$B$1:$B$10000,SMALL(貼付シート!$A$1:$A$10000,D94)+1),"")</f>
        <v/>
      </c>
      <c r="C94" s="3" t="str" cm="1">
        <f t="array" ref="C94">IFERROR(INDEX(貼付シート!$B$1:$B$10000,SMALL(貼付シート!$A$1:$A$10000,D94)+2),"")</f>
        <v/>
      </c>
      <c r="D94" s="1">
        <v>93</v>
      </c>
      <c r="E94" s="1" t="str">
        <f t="shared" si="10"/>
        <v/>
      </c>
      <c r="F94" s="1" t="str">
        <f t="shared" si="11"/>
        <v/>
      </c>
      <c r="G94" s="1" t="str">
        <f t="shared" si="12"/>
        <v/>
      </c>
      <c r="H94" s="1" t="str">
        <f t="shared" si="13"/>
        <v/>
      </c>
      <c r="I94" s="1" t="str">
        <f t="shared" si="14"/>
        <v/>
      </c>
      <c r="J94" s="1" t="str">
        <f t="shared" si="15"/>
        <v/>
      </c>
      <c r="K94" s="1" t="str">
        <f t="shared" si="16"/>
        <v/>
      </c>
      <c r="L94" s="1" t="str">
        <f t="shared" si="17"/>
        <v/>
      </c>
      <c r="M94" s="2" t="str">
        <f t="shared" si="18"/>
        <v/>
      </c>
      <c r="N94" s="1" t="str">
        <f t="shared" si="19"/>
        <v/>
      </c>
    </row>
    <row r="95" spans="1:14" x14ac:dyDescent="0.7">
      <c r="A95" s="3" t="str" cm="1">
        <f t="array" ref="A95">IFERROR(INDEX(貼付シート!$B$1:$B$10000,SMALL(貼付シート!$A$1:$A$10000,D95)),"")</f>
        <v/>
      </c>
      <c r="B95" s="3" t="str" cm="1">
        <f t="array" ref="B95">IFERROR(INDEX(貼付シート!$B$1:$B$10000,SMALL(貼付シート!$A$1:$A$10000,D95)+1),"")</f>
        <v/>
      </c>
      <c r="C95" s="3" t="str" cm="1">
        <f t="array" ref="C95">IFERROR(INDEX(貼付シート!$B$1:$B$10000,SMALL(貼付シート!$A$1:$A$10000,D95)+2),"")</f>
        <v/>
      </c>
      <c r="D95" s="1">
        <v>94</v>
      </c>
      <c r="E95" s="1" t="str">
        <f t="shared" si="10"/>
        <v/>
      </c>
      <c r="F95" s="1" t="str">
        <f t="shared" si="11"/>
        <v/>
      </c>
      <c r="G95" s="1" t="str">
        <f t="shared" si="12"/>
        <v/>
      </c>
      <c r="H95" s="1" t="str">
        <f t="shared" si="13"/>
        <v/>
      </c>
      <c r="I95" s="1" t="str">
        <f t="shared" si="14"/>
        <v/>
      </c>
      <c r="J95" s="1" t="str">
        <f t="shared" si="15"/>
        <v/>
      </c>
      <c r="K95" s="1" t="str">
        <f t="shared" si="16"/>
        <v/>
      </c>
      <c r="L95" s="1" t="str">
        <f t="shared" si="17"/>
        <v/>
      </c>
      <c r="M95" s="2" t="str">
        <f t="shared" si="18"/>
        <v/>
      </c>
      <c r="N95" s="1" t="str">
        <f t="shared" si="19"/>
        <v/>
      </c>
    </row>
    <row r="96" spans="1:14" x14ac:dyDescent="0.7">
      <c r="A96" s="3" t="str" cm="1">
        <f t="array" ref="A96">IFERROR(INDEX(貼付シート!$B$1:$B$10000,SMALL(貼付シート!$A$1:$A$10000,D96)),"")</f>
        <v/>
      </c>
      <c r="B96" s="3" t="str" cm="1">
        <f t="array" ref="B96">IFERROR(INDEX(貼付シート!$B$1:$B$10000,SMALL(貼付シート!$A$1:$A$10000,D96)+1),"")</f>
        <v/>
      </c>
      <c r="C96" s="3" t="str" cm="1">
        <f t="array" ref="C96">IFERROR(INDEX(貼付シート!$B$1:$B$10000,SMALL(貼付シート!$A$1:$A$10000,D96)+2),"")</f>
        <v/>
      </c>
      <c r="D96" s="1">
        <v>95</v>
      </c>
      <c r="E96" s="1" t="str">
        <f t="shared" si="10"/>
        <v/>
      </c>
      <c r="F96" s="1" t="str">
        <f t="shared" si="11"/>
        <v/>
      </c>
      <c r="G96" s="1" t="str">
        <f t="shared" si="12"/>
        <v/>
      </c>
      <c r="H96" s="1" t="str">
        <f t="shared" si="13"/>
        <v/>
      </c>
      <c r="I96" s="1" t="str">
        <f t="shared" si="14"/>
        <v/>
      </c>
      <c r="J96" s="1" t="str">
        <f t="shared" si="15"/>
        <v/>
      </c>
      <c r="K96" s="1" t="str">
        <f t="shared" si="16"/>
        <v/>
      </c>
      <c r="L96" s="1" t="str">
        <f t="shared" si="17"/>
        <v/>
      </c>
      <c r="M96" s="2" t="str">
        <f t="shared" si="18"/>
        <v/>
      </c>
      <c r="N96" s="1" t="str">
        <f t="shared" si="19"/>
        <v/>
      </c>
    </row>
    <row r="97" spans="1:14" x14ac:dyDescent="0.7">
      <c r="A97" s="3" t="str" cm="1">
        <f t="array" ref="A97">IFERROR(INDEX(貼付シート!$B$1:$B$10000,SMALL(貼付シート!$A$1:$A$10000,D97)),"")</f>
        <v/>
      </c>
      <c r="B97" s="3" t="str" cm="1">
        <f t="array" ref="B97">IFERROR(INDEX(貼付シート!$B$1:$B$10000,SMALL(貼付シート!$A$1:$A$10000,D97)+1),"")</f>
        <v/>
      </c>
      <c r="C97" s="3" t="str" cm="1">
        <f t="array" ref="C97">IFERROR(INDEX(貼付シート!$B$1:$B$10000,SMALL(貼付シート!$A$1:$A$10000,D97)+2),"")</f>
        <v/>
      </c>
      <c r="D97" s="1">
        <v>96</v>
      </c>
      <c r="E97" s="1" t="str">
        <f t="shared" si="10"/>
        <v/>
      </c>
      <c r="F97" s="1" t="str">
        <f t="shared" si="11"/>
        <v/>
      </c>
      <c r="G97" s="1" t="str">
        <f t="shared" si="12"/>
        <v/>
      </c>
      <c r="H97" s="1" t="str">
        <f t="shared" si="13"/>
        <v/>
      </c>
      <c r="I97" s="1" t="str">
        <f t="shared" si="14"/>
        <v/>
      </c>
      <c r="J97" s="1" t="str">
        <f t="shared" si="15"/>
        <v/>
      </c>
      <c r="K97" s="1" t="str">
        <f t="shared" si="16"/>
        <v/>
      </c>
      <c r="L97" s="1" t="str">
        <f t="shared" si="17"/>
        <v/>
      </c>
      <c r="M97" s="2" t="str">
        <f t="shared" si="18"/>
        <v/>
      </c>
      <c r="N97" s="1" t="str">
        <f t="shared" si="19"/>
        <v/>
      </c>
    </row>
    <row r="98" spans="1:14" x14ac:dyDescent="0.7">
      <c r="A98" s="3" t="str" cm="1">
        <f t="array" ref="A98">IFERROR(INDEX(貼付シート!$B$1:$B$10000,SMALL(貼付シート!$A$1:$A$10000,D98)),"")</f>
        <v/>
      </c>
      <c r="B98" s="3" t="str" cm="1">
        <f t="array" ref="B98">IFERROR(INDEX(貼付シート!$B$1:$B$10000,SMALL(貼付シート!$A$1:$A$10000,D98)+1),"")</f>
        <v/>
      </c>
      <c r="C98" s="3" t="str" cm="1">
        <f t="array" ref="C98">IFERROR(INDEX(貼付シート!$B$1:$B$10000,SMALL(貼付シート!$A$1:$A$10000,D98)+2),"")</f>
        <v/>
      </c>
      <c r="D98" s="1">
        <v>97</v>
      </c>
      <c r="E98" s="1" t="str">
        <f t="shared" si="10"/>
        <v/>
      </c>
      <c r="F98" s="1" t="str">
        <f t="shared" si="11"/>
        <v/>
      </c>
      <c r="G98" s="1" t="str">
        <f t="shared" si="12"/>
        <v/>
      </c>
      <c r="H98" s="1" t="str">
        <f t="shared" si="13"/>
        <v/>
      </c>
      <c r="I98" s="1" t="str">
        <f t="shared" si="14"/>
        <v/>
      </c>
      <c r="J98" s="1" t="str">
        <f t="shared" si="15"/>
        <v/>
      </c>
      <c r="K98" s="1" t="str">
        <f t="shared" si="16"/>
        <v/>
      </c>
      <c r="L98" s="1" t="str">
        <f t="shared" si="17"/>
        <v/>
      </c>
      <c r="M98" s="2" t="str">
        <f t="shared" si="18"/>
        <v/>
      </c>
      <c r="N98" s="1" t="str">
        <f t="shared" si="19"/>
        <v/>
      </c>
    </row>
    <row r="99" spans="1:14" x14ac:dyDescent="0.7">
      <c r="A99" s="3" t="str" cm="1">
        <f t="array" ref="A99">IFERROR(INDEX(貼付シート!$B$1:$B$10000,SMALL(貼付シート!$A$1:$A$10000,D99)),"")</f>
        <v/>
      </c>
      <c r="B99" s="3" t="str" cm="1">
        <f t="array" ref="B99">IFERROR(INDEX(貼付シート!$B$1:$B$10000,SMALL(貼付シート!$A$1:$A$10000,D99)+1),"")</f>
        <v/>
      </c>
      <c r="C99" s="3" t="str" cm="1">
        <f t="array" ref="C99">IFERROR(INDEX(貼付シート!$B$1:$B$10000,SMALL(貼付シート!$A$1:$A$10000,D99)+2),"")</f>
        <v/>
      </c>
      <c r="D99" s="1">
        <v>98</v>
      </c>
      <c r="E99" s="1" t="str">
        <f t="shared" si="10"/>
        <v/>
      </c>
      <c r="F99" s="1" t="str">
        <f t="shared" si="11"/>
        <v/>
      </c>
      <c r="G99" s="1" t="str">
        <f t="shared" si="12"/>
        <v/>
      </c>
      <c r="H99" s="1" t="str">
        <f t="shared" si="13"/>
        <v/>
      </c>
      <c r="I99" s="1" t="str">
        <f t="shared" si="14"/>
        <v/>
      </c>
      <c r="J99" s="1" t="str">
        <f t="shared" si="15"/>
        <v/>
      </c>
      <c r="K99" s="1" t="str">
        <f t="shared" si="16"/>
        <v/>
      </c>
      <c r="L99" s="1" t="str">
        <f t="shared" si="17"/>
        <v/>
      </c>
      <c r="M99" s="2" t="str">
        <f t="shared" si="18"/>
        <v/>
      </c>
      <c r="N99" s="1" t="str">
        <f t="shared" si="19"/>
        <v/>
      </c>
    </row>
    <row r="100" spans="1:14" x14ac:dyDescent="0.7">
      <c r="A100" s="3" t="str" cm="1">
        <f t="array" ref="A100">IFERROR(INDEX(貼付シート!$B$1:$B$10000,SMALL(貼付シート!$A$1:$A$10000,D100)),"")</f>
        <v/>
      </c>
      <c r="B100" s="3" t="str" cm="1">
        <f t="array" ref="B100">IFERROR(INDEX(貼付シート!$B$1:$B$10000,SMALL(貼付シート!$A$1:$A$10000,D100)+1),"")</f>
        <v/>
      </c>
      <c r="C100" s="3" t="str" cm="1">
        <f t="array" ref="C100">IFERROR(INDEX(貼付シート!$B$1:$B$10000,SMALL(貼付シート!$A$1:$A$10000,D100)+2),"")</f>
        <v/>
      </c>
      <c r="D100" s="1">
        <v>99</v>
      </c>
      <c r="E100" s="1" t="str">
        <f t="shared" si="10"/>
        <v/>
      </c>
      <c r="F100" s="1" t="str">
        <f t="shared" si="11"/>
        <v/>
      </c>
      <c r="G100" s="1" t="str">
        <f t="shared" si="12"/>
        <v/>
      </c>
      <c r="H100" s="1" t="str">
        <f t="shared" si="13"/>
        <v/>
      </c>
      <c r="I100" s="1" t="str">
        <f t="shared" si="14"/>
        <v/>
      </c>
      <c r="J100" s="1" t="str">
        <f t="shared" si="15"/>
        <v/>
      </c>
      <c r="K100" s="1" t="str">
        <f t="shared" si="16"/>
        <v/>
      </c>
      <c r="L100" s="1" t="str">
        <f t="shared" si="17"/>
        <v/>
      </c>
      <c r="M100" s="2" t="str">
        <f t="shared" si="18"/>
        <v/>
      </c>
      <c r="N100" s="1" t="str">
        <f t="shared" si="19"/>
        <v/>
      </c>
    </row>
    <row r="101" spans="1:14" x14ac:dyDescent="0.7">
      <c r="A101" s="3" t="str" cm="1">
        <f t="array" ref="A101">IFERROR(INDEX(貼付シート!$B$1:$B$10000,SMALL(貼付シート!$A$1:$A$10000,D101)),"")</f>
        <v/>
      </c>
      <c r="B101" s="3" t="str" cm="1">
        <f t="array" ref="B101">IFERROR(INDEX(貼付シート!$B$1:$B$10000,SMALL(貼付シート!$A$1:$A$10000,D101)+1),"")</f>
        <v/>
      </c>
      <c r="C101" s="3" t="str" cm="1">
        <f t="array" ref="C101">IFERROR(INDEX(貼付シート!$B$1:$B$10000,SMALL(貼付シート!$A$1:$A$10000,D101)+2),"")</f>
        <v/>
      </c>
      <c r="D101" s="1">
        <v>100</v>
      </c>
      <c r="E101" s="1" t="str">
        <f t="shared" si="10"/>
        <v/>
      </c>
      <c r="F101" s="1" t="str">
        <f t="shared" si="11"/>
        <v/>
      </c>
      <c r="G101" s="1" t="str">
        <f t="shared" si="12"/>
        <v/>
      </c>
      <c r="H101" s="1" t="str">
        <f t="shared" si="13"/>
        <v/>
      </c>
      <c r="I101" s="1" t="str">
        <f t="shared" si="14"/>
        <v/>
      </c>
      <c r="J101" s="1" t="str">
        <f t="shared" si="15"/>
        <v/>
      </c>
      <c r="K101" s="1" t="str">
        <f t="shared" si="16"/>
        <v/>
      </c>
      <c r="L101" s="1" t="str">
        <f t="shared" si="17"/>
        <v/>
      </c>
      <c r="M101" s="2" t="str">
        <f t="shared" si="18"/>
        <v/>
      </c>
      <c r="N101" s="1" t="str">
        <f t="shared" si="19"/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7FDA-A898-4303-B708-445AEEFBA81A}">
  <dimension ref="A1:A279"/>
  <sheetViews>
    <sheetView workbookViewId="0">
      <selection activeCell="A171" sqref="A171"/>
    </sheetView>
  </sheetViews>
  <sheetFormatPr defaultRowHeight="17.649999999999999" x14ac:dyDescent="0.7"/>
  <sheetData>
    <row r="1" spans="1:1" x14ac:dyDescent="0.7">
      <c r="A1" t="s">
        <v>282</v>
      </c>
    </row>
    <row r="3" spans="1:1" x14ac:dyDescent="0.7">
      <c r="A3" t="s">
        <v>95</v>
      </c>
    </row>
    <row r="5" spans="1:1" x14ac:dyDescent="0.7">
      <c r="A5" t="s">
        <v>96</v>
      </c>
    </row>
    <row r="6" spans="1:1" x14ac:dyDescent="0.7">
      <c r="A6" t="s">
        <v>97</v>
      </c>
    </row>
    <row r="7" spans="1:1" x14ac:dyDescent="0.7">
      <c r="A7" t="s">
        <v>98</v>
      </c>
    </row>
    <row r="8" spans="1:1" x14ac:dyDescent="0.7">
      <c r="A8" t="s">
        <v>99</v>
      </c>
    </row>
    <row r="9" spans="1:1" x14ac:dyDescent="0.7">
      <c r="A9" t="s">
        <v>100</v>
      </c>
    </row>
    <row r="10" spans="1:1" x14ac:dyDescent="0.7">
      <c r="A10" t="s">
        <v>101</v>
      </c>
    </row>
    <row r="11" spans="1:1" x14ac:dyDescent="0.7">
      <c r="A11" t="s">
        <v>102</v>
      </c>
    </row>
    <row r="12" spans="1:1" x14ac:dyDescent="0.7">
      <c r="A12" t="s">
        <v>103</v>
      </c>
    </row>
    <row r="13" spans="1:1" x14ac:dyDescent="0.7">
      <c r="A13" t="s">
        <v>104</v>
      </c>
    </row>
    <row r="14" spans="1:1" x14ac:dyDescent="0.7">
      <c r="A14" t="s">
        <v>105</v>
      </c>
    </row>
    <row r="16" spans="1:1" x14ac:dyDescent="0.7">
      <c r="A16" t="s">
        <v>106</v>
      </c>
    </row>
    <row r="17" spans="1:1" x14ac:dyDescent="0.7">
      <c r="A17" t="s">
        <v>107</v>
      </c>
    </row>
    <row r="18" spans="1:1" x14ac:dyDescent="0.7">
      <c r="A18" t="s">
        <v>108</v>
      </c>
    </row>
    <row r="21" spans="1:1" x14ac:dyDescent="0.7">
      <c r="A21" t="s">
        <v>109</v>
      </c>
    </row>
    <row r="23" spans="1:1" x14ac:dyDescent="0.7">
      <c r="A23" t="s">
        <v>110</v>
      </c>
    </row>
    <row r="24" spans="1:1" x14ac:dyDescent="0.7">
      <c r="A24" t="s">
        <v>111</v>
      </c>
    </row>
    <row r="25" spans="1:1" x14ac:dyDescent="0.7">
      <c r="A25" t="s">
        <v>112</v>
      </c>
    </row>
    <row r="26" spans="1:1" x14ac:dyDescent="0.7">
      <c r="A26" t="s">
        <v>113</v>
      </c>
    </row>
    <row r="27" spans="1:1" x14ac:dyDescent="0.7">
      <c r="A27" t="s">
        <v>114</v>
      </c>
    </row>
    <row r="28" spans="1:1" x14ac:dyDescent="0.7">
      <c r="A28" t="s">
        <v>115</v>
      </c>
    </row>
    <row r="30" spans="1:1" x14ac:dyDescent="0.7">
      <c r="A30" t="s">
        <v>116</v>
      </c>
    </row>
    <row r="31" spans="1:1" x14ac:dyDescent="0.7">
      <c r="A31" t="s">
        <v>117</v>
      </c>
    </row>
    <row r="32" spans="1:1" x14ac:dyDescent="0.7">
      <c r="A32" t="s">
        <v>118</v>
      </c>
    </row>
    <row r="33" spans="1:1" x14ac:dyDescent="0.7">
      <c r="A33" t="s">
        <v>119</v>
      </c>
    </row>
    <row r="34" spans="1:1" x14ac:dyDescent="0.7">
      <c r="A34" t="s">
        <v>120</v>
      </c>
    </row>
    <row r="35" spans="1:1" x14ac:dyDescent="0.7">
      <c r="A35" t="s">
        <v>121</v>
      </c>
    </row>
    <row r="36" spans="1:1" x14ac:dyDescent="0.7">
      <c r="A36" t="s">
        <v>122</v>
      </c>
    </row>
    <row r="37" spans="1:1" x14ac:dyDescent="0.7">
      <c r="A37" t="s">
        <v>123</v>
      </c>
    </row>
    <row r="38" spans="1:1" x14ac:dyDescent="0.7">
      <c r="A38" t="s">
        <v>124</v>
      </c>
    </row>
    <row r="39" spans="1:1" x14ac:dyDescent="0.7">
      <c r="A39" t="s">
        <v>125</v>
      </c>
    </row>
    <row r="40" spans="1:1" x14ac:dyDescent="0.7">
      <c r="A40" t="s">
        <v>126</v>
      </c>
    </row>
    <row r="41" spans="1:1" x14ac:dyDescent="0.7">
      <c r="A41" t="s">
        <v>127</v>
      </c>
    </row>
    <row r="43" spans="1:1" x14ac:dyDescent="0.7">
      <c r="A43" t="s">
        <v>128</v>
      </c>
    </row>
    <row r="44" spans="1:1" x14ac:dyDescent="0.7">
      <c r="A44" t="s">
        <v>129</v>
      </c>
    </row>
    <row r="45" spans="1:1" x14ac:dyDescent="0.7">
      <c r="A45" t="s">
        <v>130</v>
      </c>
    </row>
    <row r="46" spans="1:1" x14ac:dyDescent="0.7">
      <c r="A46" t="s">
        <v>131</v>
      </c>
    </row>
    <row r="47" spans="1:1" x14ac:dyDescent="0.7">
      <c r="A47" t="s">
        <v>132</v>
      </c>
    </row>
    <row r="48" spans="1:1" x14ac:dyDescent="0.7">
      <c r="A48" t="s">
        <v>133</v>
      </c>
    </row>
    <row r="49" spans="1:1" x14ac:dyDescent="0.7">
      <c r="A49" t="s">
        <v>134</v>
      </c>
    </row>
    <row r="52" spans="1:1" x14ac:dyDescent="0.7">
      <c r="A52" t="s">
        <v>135</v>
      </c>
    </row>
    <row r="54" spans="1:1" x14ac:dyDescent="0.7">
      <c r="A54" t="s">
        <v>136</v>
      </c>
    </row>
    <row r="56" spans="1:1" x14ac:dyDescent="0.7">
      <c r="A56" t="s">
        <v>137</v>
      </c>
    </row>
    <row r="57" spans="1:1" x14ac:dyDescent="0.7">
      <c r="A57" t="s">
        <v>138</v>
      </c>
    </row>
    <row r="58" spans="1:1" x14ac:dyDescent="0.7">
      <c r="A58" t="s">
        <v>139</v>
      </c>
    </row>
    <row r="60" spans="1:1" x14ac:dyDescent="0.7">
      <c r="A60" t="s">
        <v>140</v>
      </c>
    </row>
    <row r="61" spans="1:1" x14ac:dyDescent="0.7">
      <c r="A61" t="s">
        <v>141</v>
      </c>
    </row>
    <row r="62" spans="1:1" x14ac:dyDescent="0.7">
      <c r="A62" t="s">
        <v>142</v>
      </c>
    </row>
    <row r="65" spans="1:1" x14ac:dyDescent="0.7">
      <c r="A65" t="s">
        <v>143</v>
      </c>
    </row>
    <row r="67" spans="1:1" x14ac:dyDescent="0.7">
      <c r="A67" t="s">
        <v>144</v>
      </c>
    </row>
    <row r="68" spans="1:1" x14ac:dyDescent="0.7">
      <c r="A68" t="s">
        <v>145</v>
      </c>
    </row>
    <row r="70" spans="1:1" x14ac:dyDescent="0.7">
      <c r="A70" t="s">
        <v>146</v>
      </c>
    </row>
    <row r="71" spans="1:1" x14ac:dyDescent="0.7">
      <c r="A71" t="s">
        <v>147</v>
      </c>
    </row>
    <row r="72" spans="1:1" x14ac:dyDescent="0.7">
      <c r="A72" t="s">
        <v>148</v>
      </c>
    </row>
    <row r="74" spans="1:1" x14ac:dyDescent="0.7">
      <c r="A74" t="s">
        <v>149</v>
      </c>
    </row>
    <row r="75" spans="1:1" x14ac:dyDescent="0.7">
      <c r="A75" t="s">
        <v>150</v>
      </c>
    </row>
    <row r="77" spans="1:1" x14ac:dyDescent="0.7">
      <c r="A77" t="s">
        <v>151</v>
      </c>
    </row>
    <row r="78" spans="1:1" x14ac:dyDescent="0.7">
      <c r="A78" t="s">
        <v>152</v>
      </c>
    </row>
    <row r="79" spans="1:1" x14ac:dyDescent="0.7">
      <c r="A79" t="s">
        <v>153</v>
      </c>
    </row>
    <row r="82" spans="1:1" x14ac:dyDescent="0.7">
      <c r="A82" t="s">
        <v>154</v>
      </c>
    </row>
    <row r="84" spans="1:1" x14ac:dyDescent="0.7">
      <c r="A84" t="s">
        <v>155</v>
      </c>
    </row>
    <row r="85" spans="1:1" x14ac:dyDescent="0.7">
      <c r="A85" t="s">
        <v>156</v>
      </c>
    </row>
    <row r="86" spans="1:1" x14ac:dyDescent="0.7">
      <c r="A86" t="s">
        <v>155</v>
      </c>
    </row>
    <row r="87" spans="1:1" x14ac:dyDescent="0.7">
      <c r="A87" t="s">
        <v>157</v>
      </c>
    </row>
    <row r="88" spans="1:1" x14ac:dyDescent="0.7">
      <c r="A88" t="s">
        <v>158</v>
      </c>
    </row>
    <row r="89" spans="1:1" x14ac:dyDescent="0.7">
      <c r="A89" t="s">
        <v>159</v>
      </c>
    </row>
    <row r="90" spans="1:1" x14ac:dyDescent="0.7">
      <c r="A90" t="s">
        <v>160</v>
      </c>
    </row>
    <row r="92" spans="1:1" x14ac:dyDescent="0.7">
      <c r="A92" t="s">
        <v>161</v>
      </c>
    </row>
    <row r="93" spans="1:1" x14ac:dyDescent="0.7">
      <c r="A93" t="s">
        <v>162</v>
      </c>
    </row>
    <row r="96" spans="1:1" x14ac:dyDescent="0.7">
      <c r="A96" t="s">
        <v>155</v>
      </c>
    </row>
    <row r="97" spans="1:1" x14ac:dyDescent="0.7">
      <c r="A97" t="s">
        <v>163</v>
      </c>
    </row>
    <row r="98" spans="1:1" x14ac:dyDescent="0.7">
      <c r="A98" t="s">
        <v>155</v>
      </c>
    </row>
    <row r="99" spans="1:1" x14ac:dyDescent="0.7">
      <c r="A99" t="s">
        <v>164</v>
      </c>
    </row>
    <row r="101" spans="1:1" x14ac:dyDescent="0.7">
      <c r="A101" t="s">
        <v>165</v>
      </c>
    </row>
    <row r="102" spans="1:1" x14ac:dyDescent="0.7">
      <c r="A102" t="s">
        <v>166</v>
      </c>
    </row>
    <row r="103" spans="1:1" x14ac:dyDescent="0.7">
      <c r="A103" t="s">
        <v>167</v>
      </c>
    </row>
    <row r="104" spans="1:1" x14ac:dyDescent="0.7">
      <c r="A104" t="s">
        <v>168</v>
      </c>
    </row>
    <row r="105" spans="1:1" x14ac:dyDescent="0.7">
      <c r="A105" t="s">
        <v>169</v>
      </c>
    </row>
    <row r="106" spans="1:1" x14ac:dyDescent="0.7">
      <c r="A106" t="s">
        <v>170</v>
      </c>
    </row>
    <row r="107" spans="1:1" x14ac:dyDescent="0.7">
      <c r="A107" t="s">
        <v>171</v>
      </c>
    </row>
    <row r="109" spans="1:1" x14ac:dyDescent="0.7">
      <c r="A109" t="s">
        <v>172</v>
      </c>
    </row>
    <row r="110" spans="1:1" x14ac:dyDescent="0.7">
      <c r="A110" t="s">
        <v>166</v>
      </c>
    </row>
    <row r="111" spans="1:1" x14ac:dyDescent="0.7">
      <c r="A111" t="s">
        <v>167</v>
      </c>
    </row>
    <row r="112" spans="1:1" x14ac:dyDescent="0.7">
      <c r="A112" t="s">
        <v>173</v>
      </c>
    </row>
    <row r="113" spans="1:1" x14ac:dyDescent="0.7">
      <c r="A113" t="s">
        <v>174</v>
      </c>
    </row>
    <row r="115" spans="1:1" x14ac:dyDescent="0.7">
      <c r="A115" t="s">
        <v>175</v>
      </c>
    </row>
    <row r="116" spans="1:1" x14ac:dyDescent="0.7">
      <c r="A116" t="s">
        <v>166</v>
      </c>
    </row>
    <row r="117" spans="1:1" x14ac:dyDescent="0.7">
      <c r="A117" t="s">
        <v>167</v>
      </c>
    </row>
    <row r="118" spans="1:1" x14ac:dyDescent="0.7">
      <c r="A118" t="s">
        <v>176</v>
      </c>
    </row>
    <row r="119" spans="1:1" x14ac:dyDescent="0.7">
      <c r="A119" t="s">
        <v>177</v>
      </c>
    </row>
    <row r="120" spans="1:1" x14ac:dyDescent="0.7">
      <c r="A120" t="s">
        <v>178</v>
      </c>
    </row>
    <row r="121" spans="1:1" x14ac:dyDescent="0.7">
      <c r="A121" t="s">
        <v>179</v>
      </c>
    </row>
    <row r="123" spans="1:1" x14ac:dyDescent="0.7">
      <c r="A123" t="s">
        <v>180</v>
      </c>
    </row>
    <row r="126" spans="1:1" x14ac:dyDescent="0.7">
      <c r="A126" t="s">
        <v>155</v>
      </c>
    </row>
    <row r="127" spans="1:1" x14ac:dyDescent="0.7">
      <c r="A127" t="s">
        <v>181</v>
      </c>
    </row>
    <row r="128" spans="1:1" x14ac:dyDescent="0.7">
      <c r="A128" t="s">
        <v>155</v>
      </c>
    </row>
    <row r="129" spans="1:1" x14ac:dyDescent="0.7">
      <c r="A129" t="s">
        <v>182</v>
      </c>
    </row>
    <row r="130" spans="1:1" x14ac:dyDescent="0.7">
      <c r="A130" t="s">
        <v>183</v>
      </c>
    </row>
    <row r="132" spans="1:1" x14ac:dyDescent="0.7">
      <c r="A132" t="s">
        <v>184</v>
      </c>
    </row>
    <row r="133" spans="1:1" x14ac:dyDescent="0.7">
      <c r="A133" t="s">
        <v>185</v>
      </c>
    </row>
    <row r="134" spans="1:1" x14ac:dyDescent="0.7">
      <c r="A134" t="s">
        <v>186</v>
      </c>
    </row>
    <row r="135" spans="1:1" x14ac:dyDescent="0.7">
      <c r="A135" t="s">
        <v>187</v>
      </c>
    </row>
    <row r="136" spans="1:1" x14ac:dyDescent="0.7">
      <c r="A136" t="s">
        <v>188</v>
      </c>
    </row>
    <row r="137" spans="1:1" x14ac:dyDescent="0.7">
      <c r="A137" t="s">
        <v>189</v>
      </c>
    </row>
    <row r="138" spans="1:1" x14ac:dyDescent="0.7">
      <c r="A138" t="s">
        <v>190</v>
      </c>
    </row>
    <row r="139" spans="1:1" x14ac:dyDescent="0.7">
      <c r="A139" t="s">
        <v>191</v>
      </c>
    </row>
    <row r="141" spans="1:1" x14ac:dyDescent="0.7">
      <c r="A141" t="s">
        <v>192</v>
      </c>
    </row>
    <row r="142" spans="1:1" x14ac:dyDescent="0.7">
      <c r="A142" t="s">
        <v>193</v>
      </c>
    </row>
    <row r="143" spans="1:1" x14ac:dyDescent="0.7">
      <c r="A143" t="s">
        <v>194</v>
      </c>
    </row>
    <row r="145" spans="1:1" x14ac:dyDescent="0.7">
      <c r="A145" t="s">
        <v>195</v>
      </c>
    </row>
    <row r="146" spans="1:1" x14ac:dyDescent="0.7">
      <c r="A146" t="s">
        <v>196</v>
      </c>
    </row>
    <row r="149" spans="1:1" x14ac:dyDescent="0.7">
      <c r="A149" t="s">
        <v>155</v>
      </c>
    </row>
    <row r="150" spans="1:1" x14ac:dyDescent="0.7">
      <c r="A150" t="s">
        <v>197</v>
      </c>
    </row>
    <row r="151" spans="1:1" x14ac:dyDescent="0.7">
      <c r="A151" t="s">
        <v>155</v>
      </c>
    </row>
    <row r="152" spans="1:1" x14ac:dyDescent="0.7">
      <c r="A152" t="s">
        <v>198</v>
      </c>
    </row>
    <row r="153" spans="1:1" x14ac:dyDescent="0.7">
      <c r="A153" t="s">
        <v>199</v>
      </c>
    </row>
    <row r="155" spans="1:1" x14ac:dyDescent="0.7">
      <c r="A155" t="s">
        <v>200</v>
      </c>
    </row>
    <row r="156" spans="1:1" x14ac:dyDescent="0.7">
      <c r="A156" t="s">
        <v>201</v>
      </c>
    </row>
    <row r="157" spans="1:1" x14ac:dyDescent="0.7">
      <c r="A157" t="s">
        <v>202</v>
      </c>
    </row>
    <row r="158" spans="1:1" x14ac:dyDescent="0.7">
      <c r="A158" t="s">
        <v>203</v>
      </c>
    </row>
    <row r="159" spans="1:1" x14ac:dyDescent="0.7">
      <c r="A159" t="s">
        <v>283</v>
      </c>
    </row>
    <row r="160" spans="1:1" x14ac:dyDescent="0.7">
      <c r="A160" t="s">
        <v>204</v>
      </c>
    </row>
    <row r="162" spans="1:1" x14ac:dyDescent="0.7">
      <c r="A162" t="s">
        <v>205</v>
      </c>
    </row>
    <row r="163" spans="1:1" x14ac:dyDescent="0.7">
      <c r="A163" t="s">
        <v>284</v>
      </c>
    </row>
    <row r="164" spans="1:1" x14ac:dyDescent="0.7">
      <c r="A164" t="s">
        <v>285</v>
      </c>
    </row>
    <row r="166" spans="1:1" x14ac:dyDescent="0.7">
      <c r="A166" t="s">
        <v>206</v>
      </c>
    </row>
    <row r="167" spans="1:1" x14ac:dyDescent="0.7">
      <c r="A167" t="s">
        <v>286</v>
      </c>
    </row>
    <row r="168" spans="1:1" x14ac:dyDescent="0.7">
      <c r="A168" t="s">
        <v>287</v>
      </c>
    </row>
    <row r="169" spans="1:1" x14ac:dyDescent="0.7">
      <c r="A169" t="s">
        <v>288</v>
      </c>
    </row>
    <row r="170" spans="1:1" x14ac:dyDescent="0.7">
      <c r="A170" t="s">
        <v>289</v>
      </c>
    </row>
    <row r="172" spans="1:1" x14ac:dyDescent="0.7">
      <c r="A172" t="s">
        <v>207</v>
      </c>
    </row>
    <row r="173" spans="1:1" x14ac:dyDescent="0.7">
      <c r="A173" t="s">
        <v>208</v>
      </c>
    </row>
    <row r="174" spans="1:1" x14ac:dyDescent="0.7">
      <c r="A174" t="s">
        <v>209</v>
      </c>
    </row>
    <row r="177" spans="1:1" x14ac:dyDescent="0.7">
      <c r="A177" t="s">
        <v>155</v>
      </c>
    </row>
    <row r="178" spans="1:1" x14ac:dyDescent="0.7">
      <c r="A178" t="s">
        <v>210</v>
      </c>
    </row>
    <row r="179" spans="1:1" x14ac:dyDescent="0.7">
      <c r="A179" t="s">
        <v>155</v>
      </c>
    </row>
    <row r="180" spans="1:1" x14ac:dyDescent="0.7">
      <c r="A180" t="s">
        <v>211</v>
      </c>
    </row>
    <row r="181" spans="1:1" x14ac:dyDescent="0.7">
      <c r="A181" t="s">
        <v>212</v>
      </c>
    </row>
    <row r="182" spans="1:1" x14ac:dyDescent="0.7">
      <c r="A182" t="s">
        <v>213</v>
      </c>
    </row>
    <row r="183" spans="1:1" x14ac:dyDescent="0.7">
      <c r="A183" t="s">
        <v>214</v>
      </c>
    </row>
    <row r="184" spans="1:1" x14ac:dyDescent="0.7">
      <c r="A184" t="s">
        <v>215</v>
      </c>
    </row>
    <row r="185" spans="1:1" x14ac:dyDescent="0.7">
      <c r="A185" t="s">
        <v>216</v>
      </c>
    </row>
    <row r="186" spans="1:1" x14ac:dyDescent="0.7">
      <c r="A186" t="s">
        <v>217</v>
      </c>
    </row>
    <row r="188" spans="1:1" x14ac:dyDescent="0.7">
      <c r="A188" t="s">
        <v>218</v>
      </c>
    </row>
    <row r="189" spans="1:1" x14ac:dyDescent="0.7">
      <c r="A189" t="s">
        <v>219</v>
      </c>
    </row>
    <row r="190" spans="1:1" x14ac:dyDescent="0.7">
      <c r="A190" t="s">
        <v>220</v>
      </c>
    </row>
    <row r="192" spans="1:1" x14ac:dyDescent="0.7">
      <c r="A192" t="s">
        <v>221</v>
      </c>
    </row>
    <row r="193" spans="1:1" x14ac:dyDescent="0.7">
      <c r="A193" t="s">
        <v>222</v>
      </c>
    </row>
    <row r="194" spans="1:1" x14ac:dyDescent="0.7">
      <c r="A194" t="s">
        <v>223</v>
      </c>
    </row>
    <row r="195" spans="1:1" x14ac:dyDescent="0.7">
      <c r="A195" t="s">
        <v>224</v>
      </c>
    </row>
    <row r="198" spans="1:1" x14ac:dyDescent="0.7">
      <c r="A198" t="s">
        <v>155</v>
      </c>
    </row>
    <row r="199" spans="1:1" x14ac:dyDescent="0.7">
      <c r="A199" t="s">
        <v>225</v>
      </c>
    </row>
    <row r="200" spans="1:1" x14ac:dyDescent="0.7">
      <c r="A200" t="s">
        <v>155</v>
      </c>
    </row>
    <row r="201" spans="1:1" x14ac:dyDescent="0.7">
      <c r="A201" t="s">
        <v>226</v>
      </c>
    </row>
    <row r="202" spans="1:1" x14ac:dyDescent="0.7">
      <c r="A202" t="s">
        <v>227</v>
      </c>
    </row>
    <row r="203" spans="1:1" x14ac:dyDescent="0.7">
      <c r="A203" t="s">
        <v>228</v>
      </c>
    </row>
    <row r="204" spans="1:1" x14ac:dyDescent="0.7">
      <c r="A204" t="s">
        <v>229</v>
      </c>
    </row>
    <row r="205" spans="1:1" x14ac:dyDescent="0.7">
      <c r="A205" t="s">
        <v>230</v>
      </c>
    </row>
    <row r="206" spans="1:1" x14ac:dyDescent="0.7">
      <c r="A206" t="s">
        <v>231</v>
      </c>
    </row>
    <row r="207" spans="1:1" x14ac:dyDescent="0.7">
      <c r="A207" t="s">
        <v>232</v>
      </c>
    </row>
    <row r="208" spans="1:1" x14ac:dyDescent="0.7">
      <c r="A208" t="s">
        <v>233</v>
      </c>
    </row>
    <row r="210" spans="1:1" x14ac:dyDescent="0.7">
      <c r="A210" t="s">
        <v>234</v>
      </c>
    </row>
    <row r="211" spans="1:1" x14ac:dyDescent="0.7">
      <c r="A211" t="s">
        <v>235</v>
      </c>
    </row>
    <row r="212" spans="1:1" x14ac:dyDescent="0.7">
      <c r="A212" t="s">
        <v>236</v>
      </c>
    </row>
    <row r="213" spans="1:1" x14ac:dyDescent="0.7">
      <c r="A213" t="s">
        <v>237</v>
      </c>
    </row>
    <row r="214" spans="1:1" x14ac:dyDescent="0.7">
      <c r="A214" t="s">
        <v>238</v>
      </c>
    </row>
    <row r="215" spans="1:1" x14ac:dyDescent="0.7">
      <c r="A215" t="s">
        <v>239</v>
      </c>
    </row>
    <row r="216" spans="1:1" x14ac:dyDescent="0.7">
      <c r="A216" t="s">
        <v>240</v>
      </c>
    </row>
    <row r="217" spans="1:1" x14ac:dyDescent="0.7">
      <c r="A217" t="s">
        <v>241</v>
      </c>
    </row>
    <row r="220" spans="1:1" x14ac:dyDescent="0.7">
      <c r="A220" t="s">
        <v>242</v>
      </c>
    </row>
    <row r="222" spans="1:1" x14ac:dyDescent="0.7">
      <c r="A222" t="s">
        <v>243</v>
      </c>
    </row>
    <row r="223" spans="1:1" x14ac:dyDescent="0.7">
      <c r="A223" t="s">
        <v>244</v>
      </c>
    </row>
    <row r="224" spans="1:1" x14ac:dyDescent="0.7">
      <c r="A224" t="s">
        <v>245</v>
      </c>
    </row>
    <row r="225" spans="1:1" x14ac:dyDescent="0.7">
      <c r="A225" t="s">
        <v>246</v>
      </c>
    </row>
    <row r="226" spans="1:1" x14ac:dyDescent="0.7">
      <c r="A226" t="s">
        <v>247</v>
      </c>
    </row>
    <row r="229" spans="1:1" x14ac:dyDescent="0.7">
      <c r="A229" t="s">
        <v>248</v>
      </c>
    </row>
    <row r="231" spans="1:1" x14ac:dyDescent="0.7">
      <c r="A231" t="s">
        <v>249</v>
      </c>
    </row>
    <row r="232" spans="1:1" x14ac:dyDescent="0.7">
      <c r="A232" t="s">
        <v>250</v>
      </c>
    </row>
    <row r="233" spans="1:1" x14ac:dyDescent="0.7">
      <c r="A233" t="s">
        <v>251</v>
      </c>
    </row>
    <row r="234" spans="1:1" x14ac:dyDescent="0.7">
      <c r="A234" t="s">
        <v>252</v>
      </c>
    </row>
    <row r="235" spans="1:1" x14ac:dyDescent="0.7">
      <c r="A235" t="s">
        <v>253</v>
      </c>
    </row>
    <row r="237" spans="1:1" x14ac:dyDescent="0.7">
      <c r="A237" t="s">
        <v>254</v>
      </c>
    </row>
    <row r="239" spans="1:1" x14ac:dyDescent="0.7">
      <c r="A239" t="s">
        <v>255</v>
      </c>
    </row>
    <row r="240" spans="1:1" x14ac:dyDescent="0.7">
      <c r="A240" t="s">
        <v>256</v>
      </c>
    </row>
    <row r="243" spans="1:1" x14ac:dyDescent="0.7">
      <c r="A243" t="s">
        <v>257</v>
      </c>
    </row>
    <row r="245" spans="1:1" x14ac:dyDescent="0.7">
      <c r="A245" t="s">
        <v>258</v>
      </c>
    </row>
    <row r="246" spans="1:1" x14ac:dyDescent="0.7">
      <c r="A246" t="s">
        <v>259</v>
      </c>
    </row>
    <row r="247" spans="1:1" x14ac:dyDescent="0.7">
      <c r="A247" t="s">
        <v>260</v>
      </c>
    </row>
    <row r="249" spans="1:1" x14ac:dyDescent="0.7">
      <c r="A249" t="s">
        <v>261</v>
      </c>
    </row>
    <row r="252" spans="1:1" x14ac:dyDescent="0.7">
      <c r="A252" t="s">
        <v>262</v>
      </c>
    </row>
    <row r="254" spans="1:1" x14ac:dyDescent="0.7">
      <c r="A254" t="s">
        <v>263</v>
      </c>
    </row>
    <row r="255" spans="1:1" x14ac:dyDescent="0.7">
      <c r="A255" t="s">
        <v>264</v>
      </c>
    </row>
    <row r="257" spans="1:1" x14ac:dyDescent="0.7">
      <c r="A257" t="s">
        <v>265</v>
      </c>
    </row>
    <row r="258" spans="1:1" x14ac:dyDescent="0.7">
      <c r="A258" t="s">
        <v>266</v>
      </c>
    </row>
    <row r="259" spans="1:1" x14ac:dyDescent="0.7">
      <c r="A259" t="s">
        <v>267</v>
      </c>
    </row>
    <row r="260" spans="1:1" x14ac:dyDescent="0.7">
      <c r="A260" t="s">
        <v>268</v>
      </c>
    </row>
    <row r="262" spans="1:1" x14ac:dyDescent="0.7">
      <c r="A262" t="s">
        <v>269</v>
      </c>
    </row>
    <row r="263" spans="1:1" x14ac:dyDescent="0.7">
      <c r="A263" t="s">
        <v>270</v>
      </c>
    </row>
    <row r="266" spans="1:1" x14ac:dyDescent="0.7">
      <c r="A266" t="s">
        <v>271</v>
      </c>
    </row>
    <row r="268" spans="1:1" x14ac:dyDescent="0.7">
      <c r="A268" t="s">
        <v>272</v>
      </c>
    </row>
    <row r="269" spans="1:1" x14ac:dyDescent="0.7">
      <c r="A269" t="s">
        <v>273</v>
      </c>
    </row>
    <row r="271" spans="1:1" x14ac:dyDescent="0.7">
      <c r="A271" t="s">
        <v>274</v>
      </c>
    </row>
    <row r="272" spans="1:1" x14ac:dyDescent="0.7">
      <c r="A272" t="s">
        <v>275</v>
      </c>
    </row>
    <row r="273" spans="1:1" x14ac:dyDescent="0.7">
      <c r="A273" t="s">
        <v>276</v>
      </c>
    </row>
    <row r="274" spans="1:1" x14ac:dyDescent="0.7">
      <c r="A274" t="s">
        <v>277</v>
      </c>
    </row>
    <row r="275" spans="1:1" x14ac:dyDescent="0.7">
      <c r="A275" t="s">
        <v>278</v>
      </c>
    </row>
    <row r="276" spans="1:1" x14ac:dyDescent="0.7">
      <c r="A276" t="s">
        <v>279</v>
      </c>
    </row>
    <row r="278" spans="1:1" x14ac:dyDescent="0.7">
      <c r="A278" t="s">
        <v>280</v>
      </c>
    </row>
    <row r="279" spans="1:1" x14ac:dyDescent="0.7">
      <c r="A279" t="s">
        <v>281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貼付シート</vt:lpstr>
      <vt:lpstr>抽出シート</vt:lpstr>
      <vt:lpstr>手順書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2026-04-15T02:25:29Z</dcterms:created>
  <dcterms:modified xsi:type="dcterms:W3CDTF">2026-04-15T02:35:10Z</dcterms:modified>
</cp:coreProperties>
</file>