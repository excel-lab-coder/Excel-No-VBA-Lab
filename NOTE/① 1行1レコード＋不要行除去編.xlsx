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D3CCD94D-E42B-4D36-BE54-DD15108054C8}" xr6:coauthVersionLast="47" xr6:coauthVersionMax="47" xr10:uidLastSave="{00000000-0000-0000-0000-000000000000}"/>
  <bookViews>
    <workbookView xWindow="-98" yWindow="-98" windowWidth="21795" windowHeight="12975" xr2:uid="{AA33A303-A580-4E8E-8296-BB2DFB9C1F5A}"/>
  </bookViews>
  <sheets>
    <sheet name="貼付シート" sheetId="1" r:id="rId1"/>
    <sheet name="抽出シート" sheetId="2" r:id="rId2"/>
    <sheet name="手順書" sheetId="3" r:id="rId3"/>
    <sheet name="コラム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" i="2"/>
  <c r="C3" i="2"/>
  <c r="D3" i="2"/>
  <c r="E3" i="2"/>
  <c r="F3" i="2"/>
  <c r="G3" i="2"/>
  <c r="I3" i="2"/>
  <c r="C4" i="2"/>
  <c r="D4" i="2"/>
  <c r="E4" i="2"/>
  <c r="F4" i="2"/>
  <c r="G4" i="2"/>
  <c r="I4" i="2"/>
  <c r="C5" i="2"/>
  <c r="D5" i="2"/>
  <c r="E5" i="2"/>
  <c r="F5" i="2"/>
  <c r="G5" i="2"/>
  <c r="I5" i="2"/>
  <c r="C6" i="2"/>
  <c r="D6" i="2"/>
  <c r="E6" i="2"/>
  <c r="F6" i="2"/>
  <c r="G6" i="2"/>
  <c r="I6" i="2"/>
  <c r="C7" i="2"/>
  <c r="D7" i="2"/>
  <c r="E7" i="2"/>
  <c r="F7" i="2"/>
  <c r="G7" i="2"/>
  <c r="I7" i="2"/>
  <c r="C8" i="2"/>
  <c r="D8" i="2"/>
  <c r="E8" i="2"/>
  <c r="F8" i="2"/>
  <c r="G8" i="2"/>
  <c r="I8" i="2"/>
  <c r="C9" i="2"/>
  <c r="D9" i="2"/>
  <c r="E9" i="2"/>
  <c r="F9" i="2"/>
  <c r="G9" i="2"/>
  <c r="I9" i="2"/>
  <c r="C10" i="2"/>
  <c r="D10" i="2"/>
  <c r="E10" i="2"/>
  <c r="F10" i="2"/>
  <c r="G10" i="2"/>
  <c r="I10" i="2"/>
  <c r="C11" i="2"/>
  <c r="D11" i="2"/>
  <c r="E11" i="2"/>
  <c r="F11" i="2"/>
  <c r="G11" i="2"/>
  <c r="I11" i="2"/>
  <c r="C12" i="2"/>
  <c r="D12" i="2"/>
  <c r="E12" i="2"/>
  <c r="F12" i="2"/>
  <c r="G12" i="2"/>
  <c r="I12" i="2"/>
  <c r="C13" i="2"/>
  <c r="D13" i="2"/>
  <c r="E13" i="2"/>
  <c r="F13" i="2"/>
  <c r="G13" i="2"/>
  <c r="I13" i="2"/>
  <c r="C14" i="2"/>
  <c r="D14" i="2"/>
  <c r="E14" i="2"/>
  <c r="F14" i="2"/>
  <c r="G14" i="2"/>
  <c r="I14" i="2"/>
  <c r="C15" i="2"/>
  <c r="D15" i="2"/>
  <c r="E15" i="2"/>
  <c r="F15" i="2"/>
  <c r="G15" i="2"/>
  <c r="I15" i="2"/>
  <c r="C16" i="2"/>
  <c r="D16" i="2"/>
  <c r="E16" i="2"/>
  <c r="F16" i="2"/>
  <c r="G16" i="2"/>
  <c r="I16" i="2"/>
  <c r="C17" i="2"/>
  <c r="D17" i="2"/>
  <c r="E17" i="2"/>
  <c r="F17" i="2"/>
  <c r="G17" i="2"/>
  <c r="I17" i="2"/>
  <c r="C18" i="2"/>
  <c r="D18" i="2"/>
  <c r="E18" i="2"/>
  <c r="F18" i="2"/>
  <c r="G18" i="2"/>
  <c r="I18" i="2"/>
  <c r="C19" i="2"/>
  <c r="D19" i="2"/>
  <c r="E19" i="2"/>
  <c r="F19" i="2"/>
  <c r="G19" i="2"/>
  <c r="I19" i="2"/>
  <c r="C20" i="2"/>
  <c r="D20" i="2"/>
  <c r="E20" i="2"/>
  <c r="F20" i="2"/>
  <c r="G20" i="2"/>
  <c r="I20" i="2"/>
  <c r="C21" i="2"/>
  <c r="D21" i="2"/>
  <c r="E21" i="2"/>
  <c r="F21" i="2"/>
  <c r="G21" i="2"/>
  <c r="I21" i="2"/>
  <c r="C22" i="2"/>
  <c r="D22" i="2"/>
  <c r="E22" i="2"/>
  <c r="F22" i="2"/>
  <c r="G22" i="2"/>
  <c r="I22" i="2"/>
  <c r="C23" i="2"/>
  <c r="D23" i="2"/>
  <c r="E23" i="2"/>
  <c r="F23" i="2"/>
  <c r="G23" i="2"/>
  <c r="I23" i="2"/>
  <c r="C24" i="2"/>
  <c r="D24" i="2"/>
  <c r="E24" i="2"/>
  <c r="F24" i="2"/>
  <c r="G24" i="2"/>
  <c r="I24" i="2"/>
  <c r="C25" i="2"/>
  <c r="D25" i="2"/>
  <c r="E25" i="2"/>
  <c r="F25" i="2"/>
  <c r="G25" i="2"/>
  <c r="I25" i="2"/>
  <c r="C26" i="2"/>
  <c r="D26" i="2"/>
  <c r="E26" i="2"/>
  <c r="F26" i="2"/>
  <c r="G26" i="2"/>
  <c r="I26" i="2"/>
  <c r="C27" i="2"/>
  <c r="D27" i="2"/>
  <c r="E27" i="2"/>
  <c r="F27" i="2"/>
  <c r="G27" i="2"/>
  <c r="I27" i="2"/>
  <c r="C28" i="2"/>
  <c r="D28" i="2"/>
  <c r="E28" i="2"/>
  <c r="F28" i="2"/>
  <c r="G28" i="2"/>
  <c r="I28" i="2"/>
  <c r="C29" i="2"/>
  <c r="D29" i="2"/>
  <c r="E29" i="2"/>
  <c r="F29" i="2"/>
  <c r="G29" i="2"/>
  <c r="I29" i="2"/>
  <c r="C30" i="2"/>
  <c r="D30" i="2"/>
  <c r="E30" i="2"/>
  <c r="F30" i="2"/>
  <c r="G30" i="2"/>
  <c r="I30" i="2"/>
  <c r="C31" i="2"/>
  <c r="D31" i="2"/>
  <c r="E31" i="2"/>
  <c r="F31" i="2"/>
  <c r="G31" i="2"/>
  <c r="I31" i="2"/>
  <c r="C32" i="2"/>
  <c r="D32" i="2"/>
  <c r="E32" i="2"/>
  <c r="F32" i="2"/>
  <c r="G32" i="2"/>
  <c r="I32" i="2"/>
  <c r="C33" i="2"/>
  <c r="D33" i="2"/>
  <c r="E33" i="2"/>
  <c r="F33" i="2"/>
  <c r="G33" i="2"/>
  <c r="I33" i="2"/>
  <c r="C34" i="2"/>
  <c r="D34" i="2"/>
  <c r="E34" i="2"/>
  <c r="F34" i="2"/>
  <c r="G34" i="2"/>
  <c r="I34" i="2"/>
  <c r="C35" i="2"/>
  <c r="D35" i="2"/>
  <c r="E35" i="2"/>
  <c r="F35" i="2"/>
  <c r="G35" i="2"/>
  <c r="I35" i="2"/>
  <c r="C36" i="2"/>
  <c r="D36" i="2"/>
  <c r="E36" i="2"/>
  <c r="F36" i="2"/>
  <c r="G36" i="2"/>
  <c r="I36" i="2"/>
  <c r="C37" i="2"/>
  <c r="D37" i="2"/>
  <c r="E37" i="2"/>
  <c r="F37" i="2"/>
  <c r="G37" i="2"/>
  <c r="I37" i="2"/>
  <c r="C38" i="2"/>
  <c r="D38" i="2"/>
  <c r="E38" i="2"/>
  <c r="F38" i="2"/>
  <c r="G38" i="2"/>
  <c r="I38" i="2"/>
  <c r="C39" i="2"/>
  <c r="D39" i="2"/>
  <c r="E39" i="2"/>
  <c r="F39" i="2"/>
  <c r="G39" i="2"/>
  <c r="I39" i="2"/>
  <c r="C40" i="2"/>
  <c r="D40" i="2"/>
  <c r="E40" i="2"/>
  <c r="F40" i="2"/>
  <c r="G40" i="2"/>
  <c r="I40" i="2"/>
  <c r="C41" i="2"/>
  <c r="D41" i="2"/>
  <c r="E41" i="2"/>
  <c r="F41" i="2"/>
  <c r="G41" i="2"/>
  <c r="I41" i="2"/>
  <c r="C42" i="2"/>
  <c r="D42" i="2"/>
  <c r="E42" i="2"/>
  <c r="F42" i="2"/>
  <c r="G42" i="2"/>
  <c r="I42" i="2"/>
  <c r="C43" i="2"/>
  <c r="D43" i="2"/>
  <c r="E43" i="2"/>
  <c r="F43" i="2"/>
  <c r="G43" i="2"/>
  <c r="I43" i="2"/>
  <c r="C44" i="2"/>
  <c r="D44" i="2"/>
  <c r="E44" i="2"/>
  <c r="F44" i="2"/>
  <c r="G44" i="2"/>
  <c r="I44" i="2"/>
  <c r="C45" i="2"/>
  <c r="D45" i="2"/>
  <c r="E45" i="2"/>
  <c r="F45" i="2"/>
  <c r="G45" i="2"/>
  <c r="I45" i="2"/>
  <c r="C46" i="2"/>
  <c r="D46" i="2"/>
  <c r="E46" i="2"/>
  <c r="F46" i="2"/>
  <c r="G46" i="2"/>
  <c r="I46" i="2"/>
  <c r="C47" i="2"/>
  <c r="D47" i="2"/>
  <c r="E47" i="2"/>
  <c r="F47" i="2"/>
  <c r="G47" i="2"/>
  <c r="I47" i="2"/>
  <c r="C48" i="2"/>
  <c r="D48" i="2"/>
  <c r="E48" i="2"/>
  <c r="F48" i="2"/>
  <c r="G48" i="2"/>
  <c r="I48" i="2"/>
  <c r="C49" i="2"/>
  <c r="D49" i="2"/>
  <c r="E49" i="2"/>
  <c r="F49" i="2"/>
  <c r="G49" i="2"/>
  <c r="I49" i="2"/>
  <c r="C50" i="2"/>
  <c r="D50" i="2"/>
  <c r="E50" i="2"/>
  <c r="F50" i="2"/>
  <c r="G50" i="2"/>
  <c r="I50" i="2"/>
  <c r="C51" i="2"/>
  <c r="D51" i="2"/>
  <c r="E51" i="2"/>
  <c r="F51" i="2"/>
  <c r="G51" i="2"/>
  <c r="I51" i="2"/>
  <c r="C52" i="2"/>
  <c r="D52" i="2"/>
  <c r="E52" i="2"/>
  <c r="F52" i="2"/>
  <c r="G52" i="2"/>
  <c r="I52" i="2"/>
  <c r="C53" i="2"/>
  <c r="D53" i="2"/>
  <c r="E53" i="2"/>
  <c r="F53" i="2"/>
  <c r="G53" i="2"/>
  <c r="I53" i="2"/>
  <c r="C54" i="2"/>
  <c r="D54" i="2"/>
  <c r="E54" i="2"/>
  <c r="F54" i="2"/>
  <c r="G54" i="2"/>
  <c r="I54" i="2"/>
  <c r="C55" i="2"/>
  <c r="D55" i="2"/>
  <c r="E55" i="2"/>
  <c r="F55" i="2"/>
  <c r="G55" i="2"/>
  <c r="I55" i="2"/>
  <c r="C56" i="2"/>
  <c r="D56" i="2"/>
  <c r="E56" i="2"/>
  <c r="F56" i="2"/>
  <c r="G56" i="2"/>
  <c r="I56" i="2"/>
  <c r="C57" i="2"/>
  <c r="D57" i="2"/>
  <c r="E57" i="2"/>
  <c r="F57" i="2"/>
  <c r="G57" i="2"/>
  <c r="I57" i="2"/>
  <c r="C58" i="2"/>
  <c r="D58" i="2"/>
  <c r="E58" i="2"/>
  <c r="F58" i="2"/>
  <c r="G58" i="2"/>
  <c r="I58" i="2"/>
  <c r="C59" i="2"/>
  <c r="D59" i="2"/>
  <c r="E59" i="2"/>
  <c r="F59" i="2"/>
  <c r="G59" i="2"/>
  <c r="I59" i="2"/>
  <c r="C60" i="2"/>
  <c r="D60" i="2"/>
  <c r="E60" i="2"/>
  <c r="F60" i="2"/>
  <c r="G60" i="2"/>
  <c r="I60" i="2"/>
  <c r="C61" i="2"/>
  <c r="D61" i="2"/>
  <c r="E61" i="2"/>
  <c r="F61" i="2"/>
  <c r="G61" i="2"/>
  <c r="I61" i="2"/>
  <c r="C62" i="2"/>
  <c r="D62" i="2"/>
  <c r="E62" i="2"/>
  <c r="F62" i="2"/>
  <c r="G62" i="2"/>
  <c r="I62" i="2"/>
  <c r="C63" i="2"/>
  <c r="D63" i="2"/>
  <c r="E63" i="2"/>
  <c r="F63" i="2"/>
  <c r="G63" i="2"/>
  <c r="I63" i="2"/>
  <c r="C64" i="2"/>
  <c r="D64" i="2"/>
  <c r="E64" i="2"/>
  <c r="F64" i="2"/>
  <c r="G64" i="2"/>
  <c r="I64" i="2"/>
  <c r="C65" i="2"/>
  <c r="D65" i="2"/>
  <c r="E65" i="2"/>
  <c r="F65" i="2"/>
  <c r="G65" i="2"/>
  <c r="I65" i="2"/>
  <c r="C66" i="2"/>
  <c r="D66" i="2"/>
  <c r="E66" i="2"/>
  <c r="F66" i="2"/>
  <c r="G66" i="2"/>
  <c r="I66" i="2"/>
  <c r="C67" i="2"/>
  <c r="D67" i="2"/>
  <c r="E67" i="2"/>
  <c r="F67" i="2"/>
  <c r="G67" i="2"/>
  <c r="I67" i="2"/>
  <c r="C68" i="2"/>
  <c r="D68" i="2"/>
  <c r="E68" i="2"/>
  <c r="F68" i="2"/>
  <c r="G68" i="2"/>
  <c r="I68" i="2"/>
  <c r="C69" i="2"/>
  <c r="D69" i="2"/>
  <c r="E69" i="2"/>
  <c r="F69" i="2"/>
  <c r="G69" i="2"/>
  <c r="I69" i="2"/>
  <c r="C70" i="2"/>
  <c r="D70" i="2"/>
  <c r="E70" i="2"/>
  <c r="F70" i="2"/>
  <c r="G70" i="2"/>
  <c r="I70" i="2"/>
  <c r="C71" i="2"/>
  <c r="D71" i="2"/>
  <c r="E71" i="2"/>
  <c r="F71" i="2"/>
  <c r="G71" i="2"/>
  <c r="I71" i="2"/>
  <c r="C72" i="2"/>
  <c r="D72" i="2"/>
  <c r="E72" i="2"/>
  <c r="F72" i="2"/>
  <c r="G72" i="2"/>
  <c r="I72" i="2"/>
  <c r="C73" i="2"/>
  <c r="D73" i="2"/>
  <c r="E73" i="2"/>
  <c r="F73" i="2"/>
  <c r="G73" i="2"/>
  <c r="I73" i="2"/>
  <c r="C74" i="2"/>
  <c r="D74" i="2"/>
  <c r="E74" i="2"/>
  <c r="F74" i="2"/>
  <c r="G74" i="2"/>
  <c r="I74" i="2"/>
  <c r="C75" i="2"/>
  <c r="D75" i="2"/>
  <c r="E75" i="2"/>
  <c r="F75" i="2"/>
  <c r="G75" i="2"/>
  <c r="I75" i="2"/>
  <c r="C76" i="2"/>
  <c r="D76" i="2"/>
  <c r="E76" i="2"/>
  <c r="F76" i="2"/>
  <c r="G76" i="2"/>
  <c r="I76" i="2"/>
  <c r="C77" i="2"/>
  <c r="D77" i="2"/>
  <c r="E77" i="2"/>
  <c r="F77" i="2"/>
  <c r="G77" i="2"/>
  <c r="I77" i="2"/>
  <c r="C78" i="2"/>
  <c r="D78" i="2"/>
  <c r="E78" i="2"/>
  <c r="F78" i="2"/>
  <c r="G78" i="2"/>
  <c r="I78" i="2"/>
  <c r="C79" i="2"/>
  <c r="D79" i="2"/>
  <c r="E79" i="2"/>
  <c r="F79" i="2"/>
  <c r="G79" i="2"/>
  <c r="I79" i="2"/>
  <c r="C80" i="2"/>
  <c r="D80" i="2"/>
  <c r="E80" i="2"/>
  <c r="F80" i="2"/>
  <c r="G80" i="2"/>
  <c r="I80" i="2"/>
  <c r="C81" i="2"/>
  <c r="D81" i="2"/>
  <c r="E81" i="2"/>
  <c r="F81" i="2"/>
  <c r="G81" i="2"/>
  <c r="I81" i="2"/>
  <c r="C82" i="2"/>
  <c r="D82" i="2"/>
  <c r="E82" i="2"/>
  <c r="F82" i="2"/>
  <c r="G82" i="2"/>
  <c r="I82" i="2"/>
  <c r="C83" i="2"/>
  <c r="D83" i="2"/>
  <c r="E83" i="2"/>
  <c r="F83" i="2"/>
  <c r="G83" i="2"/>
  <c r="I83" i="2"/>
  <c r="C84" i="2"/>
  <c r="D84" i="2"/>
  <c r="E84" i="2"/>
  <c r="F84" i="2"/>
  <c r="G84" i="2"/>
  <c r="I84" i="2"/>
  <c r="C85" i="2"/>
  <c r="D85" i="2"/>
  <c r="E85" i="2"/>
  <c r="F85" i="2"/>
  <c r="G85" i="2"/>
  <c r="I85" i="2"/>
  <c r="C86" i="2"/>
  <c r="D86" i="2"/>
  <c r="E86" i="2"/>
  <c r="F86" i="2"/>
  <c r="G86" i="2"/>
  <c r="I86" i="2"/>
  <c r="C87" i="2"/>
  <c r="D87" i="2"/>
  <c r="E87" i="2"/>
  <c r="F87" i="2"/>
  <c r="G87" i="2"/>
  <c r="I87" i="2"/>
  <c r="C88" i="2"/>
  <c r="D88" i="2"/>
  <c r="E88" i="2"/>
  <c r="F88" i="2"/>
  <c r="G88" i="2"/>
  <c r="I88" i="2"/>
  <c r="C89" i="2"/>
  <c r="D89" i="2"/>
  <c r="E89" i="2"/>
  <c r="F89" i="2"/>
  <c r="G89" i="2"/>
  <c r="I89" i="2"/>
  <c r="C90" i="2"/>
  <c r="D90" i="2"/>
  <c r="E90" i="2"/>
  <c r="F90" i="2"/>
  <c r="G90" i="2"/>
  <c r="I90" i="2"/>
  <c r="C91" i="2"/>
  <c r="D91" i="2"/>
  <c r="E91" i="2"/>
  <c r="F91" i="2"/>
  <c r="G91" i="2"/>
  <c r="I91" i="2"/>
  <c r="C92" i="2"/>
  <c r="D92" i="2"/>
  <c r="E92" i="2"/>
  <c r="F92" i="2"/>
  <c r="G92" i="2"/>
  <c r="I92" i="2"/>
  <c r="C93" i="2"/>
  <c r="D93" i="2"/>
  <c r="E93" i="2"/>
  <c r="F93" i="2"/>
  <c r="G93" i="2"/>
  <c r="I93" i="2"/>
  <c r="C94" i="2"/>
  <c r="D94" i="2"/>
  <c r="E94" i="2"/>
  <c r="F94" i="2"/>
  <c r="G94" i="2"/>
  <c r="I94" i="2"/>
  <c r="C95" i="2"/>
  <c r="D95" i="2"/>
  <c r="E95" i="2"/>
  <c r="F95" i="2"/>
  <c r="G95" i="2"/>
  <c r="I95" i="2"/>
  <c r="C96" i="2"/>
  <c r="D96" i="2"/>
  <c r="E96" i="2"/>
  <c r="F96" i="2"/>
  <c r="G96" i="2"/>
  <c r="I96" i="2"/>
  <c r="C97" i="2"/>
  <c r="D97" i="2"/>
  <c r="E97" i="2"/>
  <c r="F97" i="2"/>
  <c r="G97" i="2"/>
  <c r="I97" i="2"/>
  <c r="C98" i="2"/>
  <c r="D98" i="2"/>
  <c r="E98" i="2"/>
  <c r="F98" i="2"/>
  <c r="G98" i="2"/>
  <c r="I98" i="2"/>
  <c r="C99" i="2"/>
  <c r="D99" i="2"/>
  <c r="E99" i="2"/>
  <c r="F99" i="2"/>
  <c r="G99" i="2"/>
  <c r="I99" i="2"/>
  <c r="C100" i="2"/>
  <c r="D100" i="2"/>
  <c r="E100" i="2"/>
  <c r="F100" i="2"/>
  <c r="G100" i="2"/>
  <c r="I100" i="2"/>
  <c r="C101" i="2"/>
  <c r="D101" i="2"/>
  <c r="E101" i="2"/>
  <c r="F101" i="2"/>
  <c r="G101" i="2"/>
  <c r="I101" i="2"/>
  <c r="C102" i="2"/>
  <c r="D102" i="2"/>
  <c r="E102" i="2"/>
  <c r="F102" i="2"/>
  <c r="G102" i="2"/>
  <c r="I102" i="2"/>
  <c r="C103" i="2"/>
  <c r="D103" i="2"/>
  <c r="E103" i="2"/>
  <c r="F103" i="2"/>
  <c r="G103" i="2"/>
  <c r="I103" i="2"/>
  <c r="C104" i="2"/>
  <c r="D104" i="2"/>
  <c r="E104" i="2"/>
  <c r="F104" i="2"/>
  <c r="G104" i="2"/>
  <c r="I104" i="2"/>
  <c r="C105" i="2"/>
  <c r="D105" i="2"/>
  <c r="E105" i="2"/>
  <c r="F105" i="2"/>
  <c r="G105" i="2"/>
  <c r="I105" i="2"/>
  <c r="C106" i="2"/>
  <c r="D106" i="2"/>
  <c r="E106" i="2"/>
  <c r="F106" i="2"/>
  <c r="G106" i="2"/>
  <c r="I106" i="2"/>
  <c r="C107" i="2"/>
  <c r="D107" i="2"/>
  <c r="E107" i="2"/>
  <c r="F107" i="2"/>
  <c r="G107" i="2"/>
  <c r="I107" i="2"/>
  <c r="C108" i="2"/>
  <c r="D108" i="2"/>
  <c r="E108" i="2"/>
  <c r="F108" i="2"/>
  <c r="G108" i="2"/>
  <c r="I108" i="2"/>
  <c r="C109" i="2"/>
  <c r="D109" i="2"/>
  <c r="E109" i="2"/>
  <c r="F109" i="2"/>
  <c r="G109" i="2"/>
  <c r="I109" i="2"/>
  <c r="C110" i="2"/>
  <c r="D110" i="2"/>
  <c r="E110" i="2"/>
  <c r="F110" i="2"/>
  <c r="G110" i="2"/>
  <c r="I110" i="2"/>
  <c r="C111" i="2"/>
  <c r="D111" i="2"/>
  <c r="E111" i="2"/>
  <c r="F111" i="2"/>
  <c r="G111" i="2"/>
  <c r="I111" i="2"/>
  <c r="C112" i="2"/>
  <c r="D112" i="2"/>
  <c r="E112" i="2"/>
  <c r="F112" i="2"/>
  <c r="G112" i="2"/>
  <c r="I112" i="2"/>
  <c r="C113" i="2"/>
  <c r="D113" i="2"/>
  <c r="E113" i="2"/>
  <c r="F113" i="2"/>
  <c r="G113" i="2"/>
  <c r="I113" i="2"/>
  <c r="C114" i="2"/>
  <c r="D114" i="2"/>
  <c r="E114" i="2"/>
  <c r="F114" i="2"/>
  <c r="G114" i="2"/>
  <c r="I114" i="2"/>
  <c r="C115" i="2"/>
  <c r="D115" i="2"/>
  <c r="E115" i="2"/>
  <c r="F115" i="2"/>
  <c r="G115" i="2"/>
  <c r="I115" i="2"/>
  <c r="C116" i="2"/>
  <c r="D116" i="2"/>
  <c r="E116" i="2"/>
  <c r="F116" i="2"/>
  <c r="G116" i="2"/>
  <c r="I116" i="2"/>
  <c r="C117" i="2"/>
  <c r="D117" i="2"/>
  <c r="E117" i="2"/>
  <c r="F117" i="2"/>
  <c r="G117" i="2"/>
  <c r="I117" i="2"/>
  <c r="C118" i="2"/>
  <c r="D118" i="2"/>
  <c r="E118" i="2"/>
  <c r="F118" i="2"/>
  <c r="G118" i="2"/>
  <c r="I118" i="2"/>
  <c r="C119" i="2"/>
  <c r="D119" i="2"/>
  <c r="E119" i="2"/>
  <c r="F119" i="2"/>
  <c r="G119" i="2"/>
  <c r="I119" i="2"/>
  <c r="C120" i="2"/>
  <c r="D120" i="2"/>
  <c r="E120" i="2"/>
  <c r="F120" i="2"/>
  <c r="G120" i="2"/>
  <c r="I120" i="2"/>
  <c r="C121" i="2"/>
  <c r="D121" i="2"/>
  <c r="E121" i="2"/>
  <c r="F121" i="2"/>
  <c r="G121" i="2"/>
  <c r="I121" i="2"/>
  <c r="C122" i="2"/>
  <c r="D122" i="2"/>
  <c r="E122" i="2"/>
  <c r="F122" i="2"/>
  <c r="G122" i="2"/>
  <c r="I122" i="2"/>
  <c r="C123" i="2"/>
  <c r="D123" i="2"/>
  <c r="E123" i="2"/>
  <c r="F123" i="2"/>
  <c r="G123" i="2"/>
  <c r="I123" i="2"/>
  <c r="C124" i="2"/>
  <c r="D124" i="2"/>
  <c r="E124" i="2"/>
  <c r="F124" i="2"/>
  <c r="G124" i="2"/>
  <c r="I124" i="2"/>
  <c r="C125" i="2"/>
  <c r="D125" i="2"/>
  <c r="E125" i="2"/>
  <c r="F125" i="2"/>
  <c r="G125" i="2"/>
  <c r="I125" i="2"/>
  <c r="C126" i="2"/>
  <c r="D126" i="2"/>
  <c r="E126" i="2"/>
  <c r="F126" i="2"/>
  <c r="G126" i="2"/>
  <c r="I126" i="2"/>
  <c r="C127" i="2"/>
  <c r="D127" i="2"/>
  <c r="E127" i="2"/>
  <c r="F127" i="2"/>
  <c r="G127" i="2"/>
  <c r="I127" i="2"/>
  <c r="C128" i="2"/>
  <c r="D128" i="2"/>
  <c r="E128" i="2"/>
  <c r="F128" i="2"/>
  <c r="G128" i="2"/>
  <c r="I128" i="2"/>
  <c r="C129" i="2"/>
  <c r="D129" i="2"/>
  <c r="E129" i="2"/>
  <c r="F129" i="2"/>
  <c r="G129" i="2"/>
  <c r="I129" i="2"/>
  <c r="C130" i="2"/>
  <c r="D130" i="2"/>
  <c r="E130" i="2"/>
  <c r="F130" i="2"/>
  <c r="G130" i="2"/>
  <c r="I130" i="2"/>
  <c r="C131" i="2"/>
  <c r="D131" i="2"/>
  <c r="E131" i="2"/>
  <c r="F131" i="2"/>
  <c r="G131" i="2"/>
  <c r="I131" i="2"/>
  <c r="C132" i="2"/>
  <c r="D132" i="2"/>
  <c r="E132" i="2"/>
  <c r="F132" i="2"/>
  <c r="G132" i="2"/>
  <c r="I132" i="2"/>
  <c r="C133" i="2"/>
  <c r="D133" i="2"/>
  <c r="E133" i="2"/>
  <c r="F133" i="2"/>
  <c r="G133" i="2"/>
  <c r="I133" i="2"/>
  <c r="C134" i="2"/>
  <c r="D134" i="2"/>
  <c r="E134" i="2"/>
  <c r="F134" i="2"/>
  <c r="G134" i="2"/>
  <c r="I134" i="2"/>
  <c r="C135" i="2"/>
  <c r="D135" i="2"/>
  <c r="E135" i="2"/>
  <c r="F135" i="2"/>
  <c r="G135" i="2"/>
  <c r="I135" i="2"/>
  <c r="C136" i="2"/>
  <c r="D136" i="2"/>
  <c r="E136" i="2"/>
  <c r="F136" i="2"/>
  <c r="G136" i="2"/>
  <c r="I136" i="2"/>
  <c r="C137" i="2"/>
  <c r="D137" i="2"/>
  <c r="E137" i="2"/>
  <c r="F137" i="2"/>
  <c r="G137" i="2"/>
  <c r="I137" i="2"/>
  <c r="C138" i="2"/>
  <c r="D138" i="2"/>
  <c r="E138" i="2"/>
  <c r="F138" i="2"/>
  <c r="G138" i="2"/>
  <c r="I138" i="2"/>
  <c r="C139" i="2"/>
  <c r="D139" i="2"/>
  <c r="E139" i="2"/>
  <c r="F139" i="2"/>
  <c r="G139" i="2"/>
  <c r="I139" i="2"/>
  <c r="C140" i="2"/>
  <c r="D140" i="2"/>
  <c r="E140" i="2"/>
  <c r="F140" i="2"/>
  <c r="G140" i="2"/>
  <c r="I140" i="2"/>
  <c r="C141" i="2"/>
  <c r="D141" i="2"/>
  <c r="E141" i="2"/>
  <c r="F141" i="2"/>
  <c r="G141" i="2"/>
  <c r="I141" i="2"/>
  <c r="C142" i="2"/>
  <c r="D142" i="2"/>
  <c r="E142" i="2"/>
  <c r="F142" i="2"/>
  <c r="G142" i="2"/>
  <c r="I142" i="2"/>
  <c r="C143" i="2"/>
  <c r="D143" i="2"/>
  <c r="E143" i="2"/>
  <c r="F143" i="2"/>
  <c r="G143" i="2"/>
  <c r="I143" i="2"/>
  <c r="C144" i="2"/>
  <c r="D144" i="2"/>
  <c r="E144" i="2"/>
  <c r="F144" i="2"/>
  <c r="G144" i="2"/>
  <c r="I144" i="2"/>
  <c r="C145" i="2"/>
  <c r="D145" i="2"/>
  <c r="E145" i="2"/>
  <c r="F145" i="2"/>
  <c r="G145" i="2"/>
  <c r="I145" i="2"/>
  <c r="C146" i="2"/>
  <c r="D146" i="2"/>
  <c r="E146" i="2"/>
  <c r="F146" i="2"/>
  <c r="G146" i="2"/>
  <c r="I146" i="2"/>
  <c r="C147" i="2"/>
  <c r="D147" i="2"/>
  <c r="E147" i="2"/>
  <c r="F147" i="2"/>
  <c r="G147" i="2"/>
  <c r="I147" i="2"/>
  <c r="C148" i="2"/>
  <c r="D148" i="2"/>
  <c r="E148" i="2"/>
  <c r="F148" i="2"/>
  <c r="G148" i="2"/>
  <c r="I148" i="2"/>
  <c r="C149" i="2"/>
  <c r="D149" i="2"/>
  <c r="E149" i="2"/>
  <c r="F149" i="2"/>
  <c r="G149" i="2"/>
  <c r="I149" i="2"/>
  <c r="C150" i="2"/>
  <c r="D150" i="2"/>
  <c r="E150" i="2"/>
  <c r="F150" i="2"/>
  <c r="G150" i="2"/>
  <c r="I150" i="2"/>
  <c r="C151" i="2"/>
  <c r="D151" i="2"/>
  <c r="E151" i="2"/>
  <c r="F151" i="2"/>
  <c r="G151" i="2"/>
  <c r="I151" i="2"/>
  <c r="C152" i="2"/>
  <c r="D152" i="2"/>
  <c r="E152" i="2"/>
  <c r="F152" i="2"/>
  <c r="G152" i="2"/>
  <c r="I152" i="2"/>
  <c r="C153" i="2"/>
  <c r="D153" i="2"/>
  <c r="E153" i="2"/>
  <c r="F153" i="2"/>
  <c r="G153" i="2"/>
  <c r="I153" i="2"/>
  <c r="C154" i="2"/>
  <c r="D154" i="2"/>
  <c r="E154" i="2"/>
  <c r="F154" i="2"/>
  <c r="G154" i="2"/>
  <c r="I154" i="2"/>
  <c r="C155" i="2"/>
  <c r="D155" i="2"/>
  <c r="E155" i="2"/>
  <c r="F155" i="2"/>
  <c r="G155" i="2"/>
  <c r="I155" i="2"/>
  <c r="C156" i="2"/>
  <c r="D156" i="2"/>
  <c r="E156" i="2"/>
  <c r="F156" i="2"/>
  <c r="G156" i="2"/>
  <c r="I156" i="2"/>
  <c r="C157" i="2"/>
  <c r="D157" i="2"/>
  <c r="E157" i="2"/>
  <c r="F157" i="2"/>
  <c r="G157" i="2"/>
  <c r="I157" i="2"/>
  <c r="C158" i="2"/>
  <c r="D158" i="2"/>
  <c r="E158" i="2"/>
  <c r="F158" i="2"/>
  <c r="G158" i="2"/>
  <c r="I158" i="2"/>
  <c r="C159" i="2"/>
  <c r="D159" i="2"/>
  <c r="E159" i="2"/>
  <c r="F159" i="2"/>
  <c r="G159" i="2"/>
  <c r="I159" i="2"/>
  <c r="C160" i="2"/>
  <c r="D160" i="2"/>
  <c r="E160" i="2"/>
  <c r="F160" i="2"/>
  <c r="G160" i="2"/>
  <c r="I160" i="2"/>
  <c r="C161" i="2"/>
  <c r="D161" i="2"/>
  <c r="E161" i="2"/>
  <c r="F161" i="2"/>
  <c r="G161" i="2"/>
  <c r="I161" i="2"/>
  <c r="C162" i="2"/>
  <c r="D162" i="2"/>
  <c r="E162" i="2"/>
  <c r="F162" i="2"/>
  <c r="G162" i="2"/>
  <c r="I162" i="2"/>
  <c r="C163" i="2"/>
  <c r="D163" i="2"/>
  <c r="E163" i="2"/>
  <c r="F163" i="2"/>
  <c r="G163" i="2"/>
  <c r="I163" i="2"/>
  <c r="C164" i="2"/>
  <c r="D164" i="2"/>
  <c r="E164" i="2"/>
  <c r="F164" i="2"/>
  <c r="G164" i="2"/>
  <c r="I164" i="2"/>
  <c r="C165" i="2"/>
  <c r="D165" i="2"/>
  <c r="E165" i="2"/>
  <c r="F165" i="2"/>
  <c r="G165" i="2"/>
  <c r="I165" i="2"/>
  <c r="C166" i="2"/>
  <c r="D166" i="2"/>
  <c r="E166" i="2"/>
  <c r="F166" i="2"/>
  <c r="G166" i="2"/>
  <c r="I166" i="2"/>
  <c r="C167" i="2"/>
  <c r="D167" i="2"/>
  <c r="E167" i="2"/>
  <c r="F167" i="2"/>
  <c r="G167" i="2"/>
  <c r="I167" i="2"/>
  <c r="C168" i="2"/>
  <c r="D168" i="2"/>
  <c r="E168" i="2"/>
  <c r="F168" i="2"/>
  <c r="G168" i="2"/>
  <c r="I168" i="2"/>
  <c r="C169" i="2"/>
  <c r="D169" i="2"/>
  <c r="E169" i="2"/>
  <c r="F169" i="2"/>
  <c r="G169" i="2"/>
  <c r="I169" i="2"/>
  <c r="C170" i="2"/>
  <c r="D170" i="2"/>
  <c r="E170" i="2"/>
  <c r="F170" i="2"/>
  <c r="G170" i="2"/>
  <c r="I170" i="2"/>
  <c r="C171" i="2"/>
  <c r="D171" i="2"/>
  <c r="E171" i="2"/>
  <c r="F171" i="2"/>
  <c r="G171" i="2"/>
  <c r="I171" i="2"/>
  <c r="C172" i="2"/>
  <c r="D172" i="2"/>
  <c r="E172" i="2"/>
  <c r="F172" i="2"/>
  <c r="G172" i="2"/>
  <c r="I172" i="2"/>
  <c r="C173" i="2"/>
  <c r="D173" i="2"/>
  <c r="E173" i="2"/>
  <c r="F173" i="2"/>
  <c r="G173" i="2"/>
  <c r="I173" i="2"/>
  <c r="C174" i="2"/>
  <c r="D174" i="2"/>
  <c r="E174" i="2"/>
  <c r="F174" i="2"/>
  <c r="G174" i="2"/>
  <c r="I174" i="2"/>
  <c r="C175" i="2"/>
  <c r="D175" i="2"/>
  <c r="E175" i="2"/>
  <c r="F175" i="2"/>
  <c r="G175" i="2"/>
  <c r="I175" i="2"/>
  <c r="C176" i="2"/>
  <c r="D176" i="2"/>
  <c r="E176" i="2"/>
  <c r="F176" i="2"/>
  <c r="G176" i="2"/>
  <c r="I176" i="2"/>
  <c r="C177" i="2"/>
  <c r="D177" i="2"/>
  <c r="E177" i="2"/>
  <c r="F177" i="2"/>
  <c r="G177" i="2"/>
  <c r="I177" i="2"/>
  <c r="C178" i="2"/>
  <c r="D178" i="2"/>
  <c r="E178" i="2"/>
  <c r="F178" i="2"/>
  <c r="G178" i="2"/>
  <c r="I178" i="2"/>
  <c r="C179" i="2"/>
  <c r="D179" i="2"/>
  <c r="E179" i="2"/>
  <c r="F179" i="2"/>
  <c r="G179" i="2"/>
  <c r="I179" i="2"/>
  <c r="C180" i="2"/>
  <c r="D180" i="2"/>
  <c r="E180" i="2"/>
  <c r="F180" i="2"/>
  <c r="G180" i="2"/>
  <c r="I180" i="2"/>
  <c r="C181" i="2"/>
  <c r="D181" i="2"/>
  <c r="E181" i="2"/>
  <c r="F181" i="2"/>
  <c r="G181" i="2"/>
  <c r="I181" i="2"/>
  <c r="C182" i="2"/>
  <c r="D182" i="2"/>
  <c r="E182" i="2"/>
  <c r="F182" i="2"/>
  <c r="G182" i="2"/>
  <c r="I182" i="2"/>
  <c r="C183" i="2"/>
  <c r="D183" i="2"/>
  <c r="E183" i="2"/>
  <c r="F183" i="2"/>
  <c r="G183" i="2"/>
  <c r="I183" i="2"/>
  <c r="C184" i="2"/>
  <c r="D184" i="2"/>
  <c r="E184" i="2"/>
  <c r="F184" i="2"/>
  <c r="G184" i="2"/>
  <c r="I184" i="2"/>
  <c r="C185" i="2"/>
  <c r="D185" i="2"/>
  <c r="E185" i="2"/>
  <c r="F185" i="2"/>
  <c r="G185" i="2"/>
  <c r="I185" i="2"/>
  <c r="C186" i="2"/>
  <c r="D186" i="2"/>
  <c r="E186" i="2"/>
  <c r="F186" i="2"/>
  <c r="G186" i="2"/>
  <c r="I186" i="2"/>
  <c r="C187" i="2"/>
  <c r="D187" i="2"/>
  <c r="E187" i="2"/>
  <c r="F187" i="2"/>
  <c r="G187" i="2"/>
  <c r="I187" i="2"/>
  <c r="C188" i="2"/>
  <c r="D188" i="2"/>
  <c r="E188" i="2"/>
  <c r="F188" i="2"/>
  <c r="G188" i="2"/>
  <c r="I188" i="2"/>
  <c r="C189" i="2"/>
  <c r="D189" i="2"/>
  <c r="E189" i="2"/>
  <c r="F189" i="2"/>
  <c r="G189" i="2"/>
  <c r="I189" i="2"/>
  <c r="C190" i="2"/>
  <c r="D190" i="2"/>
  <c r="E190" i="2"/>
  <c r="F190" i="2"/>
  <c r="G190" i="2"/>
  <c r="I190" i="2"/>
  <c r="C191" i="2"/>
  <c r="D191" i="2"/>
  <c r="E191" i="2"/>
  <c r="F191" i="2"/>
  <c r="G191" i="2"/>
  <c r="I191" i="2"/>
  <c r="C192" i="2"/>
  <c r="D192" i="2"/>
  <c r="E192" i="2"/>
  <c r="F192" i="2"/>
  <c r="G192" i="2"/>
  <c r="I192" i="2"/>
  <c r="C193" i="2"/>
  <c r="D193" i="2"/>
  <c r="E193" i="2"/>
  <c r="F193" i="2"/>
  <c r="G193" i="2"/>
  <c r="I193" i="2"/>
  <c r="C194" i="2"/>
  <c r="D194" i="2"/>
  <c r="E194" i="2"/>
  <c r="F194" i="2"/>
  <c r="G194" i="2"/>
  <c r="I194" i="2"/>
  <c r="C195" i="2"/>
  <c r="D195" i="2"/>
  <c r="E195" i="2"/>
  <c r="F195" i="2"/>
  <c r="G195" i="2"/>
  <c r="I195" i="2"/>
  <c r="C196" i="2"/>
  <c r="D196" i="2"/>
  <c r="E196" i="2"/>
  <c r="F196" i="2"/>
  <c r="G196" i="2"/>
  <c r="I196" i="2"/>
  <c r="C197" i="2"/>
  <c r="D197" i="2"/>
  <c r="E197" i="2"/>
  <c r="F197" i="2"/>
  <c r="G197" i="2"/>
  <c r="I197" i="2"/>
  <c r="C198" i="2"/>
  <c r="D198" i="2"/>
  <c r="E198" i="2"/>
  <c r="F198" i="2"/>
  <c r="G198" i="2"/>
  <c r="I198" i="2"/>
  <c r="C199" i="2"/>
  <c r="D199" i="2"/>
  <c r="E199" i="2"/>
  <c r="F199" i="2"/>
  <c r="G199" i="2"/>
  <c r="I199" i="2"/>
  <c r="C200" i="2"/>
  <c r="D200" i="2"/>
  <c r="E200" i="2"/>
  <c r="F200" i="2"/>
  <c r="G200" i="2"/>
  <c r="I200" i="2"/>
  <c r="A83" i="2" a="1"/>
  <c r="A83" i="2"/>
  <c r="A84" i="2" a="1"/>
  <c r="A84" i="2"/>
  <c r="A85" i="2" a="1"/>
  <c r="A85" i="2"/>
  <c r="A86" i="2" a="1"/>
  <c r="A86" i="2"/>
  <c r="A87" i="2" a="1"/>
  <c r="A87" i="2"/>
  <c r="A88" i="2" a="1"/>
  <c r="A88" i="2"/>
  <c r="A89" i="2" a="1"/>
  <c r="A89" i="2"/>
  <c r="A90" i="2" a="1"/>
  <c r="A90" i="2"/>
  <c r="A91" i="2" a="1"/>
  <c r="A91" i="2"/>
  <c r="A92" i="2" a="1"/>
  <c r="A92" i="2"/>
  <c r="A93" i="2" a="1"/>
  <c r="A93" i="2"/>
  <c r="A94" i="2" a="1"/>
  <c r="A94" i="2"/>
  <c r="A95" i="2" a="1"/>
  <c r="A95" i="2"/>
  <c r="A96" i="2" a="1"/>
  <c r="A96" i="2"/>
  <c r="A97" i="2" a="1"/>
  <c r="A97" i="2"/>
  <c r="A98" i="2" a="1"/>
  <c r="A98" i="2"/>
  <c r="A99" i="2" a="1"/>
  <c r="A99" i="2"/>
  <c r="A100" i="2" a="1"/>
  <c r="A100" i="2"/>
  <c r="A101" i="2" a="1"/>
  <c r="A101" i="2"/>
  <c r="A102" i="2" a="1"/>
  <c r="A102" i="2"/>
  <c r="A103" i="2" a="1"/>
  <c r="A103" i="2"/>
  <c r="A104" i="2" a="1"/>
  <c r="A104" i="2"/>
  <c r="A105" i="2" a="1"/>
  <c r="A105" i="2"/>
  <c r="A106" i="2" a="1"/>
  <c r="A106" i="2"/>
  <c r="A107" i="2" a="1"/>
  <c r="A107" i="2"/>
  <c r="A108" i="2" a="1"/>
  <c r="A108" i="2"/>
  <c r="A109" i="2" a="1"/>
  <c r="A109" i="2"/>
  <c r="A110" i="2" a="1"/>
  <c r="A110" i="2"/>
  <c r="A111" i="2" a="1"/>
  <c r="A111" i="2"/>
  <c r="A112" i="2" a="1"/>
  <c r="A112" i="2"/>
  <c r="A113" i="2" a="1"/>
  <c r="A113" i="2"/>
  <c r="A114" i="2" a="1"/>
  <c r="A114" i="2"/>
  <c r="A115" i="2" a="1"/>
  <c r="A115" i="2"/>
  <c r="A116" i="2" a="1"/>
  <c r="A116" i="2"/>
  <c r="A117" i="2" a="1"/>
  <c r="A117" i="2"/>
  <c r="A118" i="2" a="1"/>
  <c r="A118" i="2"/>
  <c r="A119" i="2" a="1"/>
  <c r="A119" i="2"/>
  <c r="A120" i="2" a="1"/>
  <c r="A120" i="2"/>
  <c r="A121" i="2" a="1"/>
  <c r="A121" i="2"/>
  <c r="A122" i="2" a="1"/>
  <c r="A122" i="2"/>
  <c r="A123" i="2" a="1"/>
  <c r="A123" i="2"/>
  <c r="A124" i="2" a="1"/>
  <c r="A124" i="2"/>
  <c r="A125" i="2" a="1"/>
  <c r="A125" i="2"/>
  <c r="A126" i="2" a="1"/>
  <c r="A126" i="2"/>
  <c r="A127" i="2" a="1"/>
  <c r="A127" i="2"/>
  <c r="A128" i="2" a="1"/>
  <c r="A128" i="2"/>
  <c r="A129" i="2" a="1"/>
  <c r="A129" i="2"/>
  <c r="A130" i="2" a="1"/>
  <c r="A130" i="2"/>
  <c r="A131" i="2" a="1"/>
  <c r="A131" i="2"/>
  <c r="A132" i="2" a="1"/>
  <c r="A132" i="2"/>
  <c r="A133" i="2" a="1"/>
  <c r="A133" i="2"/>
  <c r="A134" i="2" a="1"/>
  <c r="A134" i="2"/>
  <c r="A135" i="2" a="1"/>
  <c r="A135" i="2"/>
  <c r="A136" i="2" a="1"/>
  <c r="A136" i="2"/>
  <c r="A137" i="2" a="1"/>
  <c r="A137" i="2"/>
  <c r="A138" i="2" a="1"/>
  <c r="A138" i="2"/>
  <c r="A139" i="2" a="1"/>
  <c r="A139" i="2"/>
  <c r="A140" i="2" a="1"/>
  <c r="A140" i="2"/>
  <c r="A141" i="2" a="1"/>
  <c r="A141" i="2"/>
  <c r="A142" i="2" a="1"/>
  <c r="A142" i="2"/>
  <c r="A143" i="2" a="1"/>
  <c r="A143" i="2"/>
  <c r="A144" i="2" a="1"/>
  <c r="A144" i="2"/>
  <c r="A145" i="2" a="1"/>
  <c r="A145" i="2"/>
  <c r="A146" i="2" a="1"/>
  <c r="A146" i="2"/>
  <c r="A147" i="2" a="1"/>
  <c r="A147" i="2"/>
  <c r="A148" i="2" a="1"/>
  <c r="A148" i="2"/>
  <c r="A149" i="2" a="1"/>
  <c r="A149" i="2"/>
  <c r="A150" i="2" a="1"/>
  <c r="A150" i="2"/>
  <c r="A151" i="2" a="1"/>
  <c r="A151" i="2"/>
  <c r="A152" i="2" a="1"/>
  <c r="A152" i="2"/>
  <c r="A153" i="2" a="1"/>
  <c r="A153" i="2"/>
  <c r="A154" i="2" a="1"/>
  <c r="A154" i="2"/>
  <c r="A155" i="2" a="1"/>
  <c r="A155" i="2"/>
  <c r="A156" i="2" a="1"/>
  <c r="A156" i="2"/>
  <c r="A157" i="2" a="1"/>
  <c r="A157" i="2"/>
  <c r="A158" i="2" a="1"/>
  <c r="A158" i="2"/>
  <c r="A159" i="2" a="1"/>
  <c r="A159" i="2"/>
  <c r="A160" i="2" a="1"/>
  <c r="A160" i="2"/>
  <c r="A161" i="2" a="1"/>
  <c r="A161" i="2"/>
  <c r="A162" i="2" a="1"/>
  <c r="A162" i="2"/>
  <c r="A163" i="2" a="1"/>
  <c r="A163" i="2"/>
  <c r="A164" i="2" a="1"/>
  <c r="A164" i="2"/>
  <c r="A165" i="2" a="1"/>
  <c r="A165" i="2"/>
  <c r="A166" i="2" a="1"/>
  <c r="A166" i="2"/>
  <c r="A167" i="2" a="1"/>
  <c r="A167" i="2"/>
  <c r="A168" i="2" a="1"/>
  <c r="A168" i="2"/>
  <c r="A169" i="2" a="1"/>
  <c r="A169" i="2"/>
  <c r="A170" i="2" a="1"/>
  <c r="A170" i="2"/>
  <c r="A171" i="2" a="1"/>
  <c r="A171" i="2"/>
  <c r="A172" i="2" a="1"/>
  <c r="A172" i="2"/>
  <c r="A173" i="2" a="1"/>
  <c r="A173" i="2"/>
  <c r="A174" i="2" a="1"/>
  <c r="A174" i="2"/>
  <c r="A175" i="2" a="1"/>
  <c r="A175" i="2"/>
  <c r="A176" i="2" a="1"/>
  <c r="A176" i="2"/>
  <c r="A177" i="2" a="1"/>
  <c r="A177" i="2"/>
  <c r="A178" i="2" a="1"/>
  <c r="A178" i="2"/>
  <c r="A179" i="2" a="1"/>
  <c r="A179" i="2"/>
  <c r="A180" i="2" a="1"/>
  <c r="A180" i="2"/>
  <c r="A181" i="2" a="1"/>
  <c r="A181" i="2"/>
  <c r="A182" i="2" a="1"/>
  <c r="A182" i="2"/>
  <c r="A183" i="2" a="1"/>
  <c r="A183" i="2"/>
  <c r="A184" i="2" a="1"/>
  <c r="A184" i="2"/>
  <c r="A185" i="2" a="1"/>
  <c r="A185" i="2"/>
  <c r="A186" i="2" a="1"/>
  <c r="A186" i="2"/>
  <c r="A187" i="2" a="1"/>
  <c r="A187" i="2"/>
  <c r="A188" i="2" a="1"/>
  <c r="A188" i="2"/>
  <c r="A189" i="2" a="1"/>
  <c r="A189" i="2"/>
  <c r="A190" i="2" a="1"/>
  <c r="A190" i="2"/>
  <c r="A191" i="2" a="1"/>
  <c r="A191" i="2"/>
  <c r="A192" i="2" a="1"/>
  <c r="A192" i="2"/>
  <c r="A193" i="2" a="1"/>
  <c r="A193" i="2"/>
  <c r="A194" i="2" a="1"/>
  <c r="A194" i="2"/>
  <c r="A195" i="2" a="1"/>
  <c r="A195" i="2"/>
  <c r="A196" i="2" a="1"/>
  <c r="A196" i="2"/>
  <c r="A197" i="2" a="1"/>
  <c r="A197" i="2"/>
  <c r="A198" i="2" a="1"/>
  <c r="A198" i="2"/>
  <c r="A199" i="2" a="1"/>
  <c r="A199" i="2"/>
  <c r="A200" i="2" a="1"/>
  <c r="A200" i="2"/>
  <c r="A3" i="2" a="1"/>
  <c r="A3" i="2"/>
  <c r="A4" i="2" a="1"/>
  <c r="A4" i="2"/>
  <c r="A5" i="2" a="1"/>
  <c r="A5" i="2"/>
  <c r="A6" i="2" a="1"/>
  <c r="A6" i="2"/>
  <c r="A7" i="2" a="1"/>
  <c r="A7" i="2" s="1"/>
  <c r="A8" i="2" a="1"/>
  <c r="A8" i="2"/>
  <c r="A9" i="2" a="1"/>
  <c r="A9" i="2" s="1"/>
  <c r="A10" i="2" a="1"/>
  <c r="A10" i="2"/>
  <c r="A11" i="2" a="1"/>
  <c r="A11" i="2" s="1"/>
  <c r="A12" i="2" a="1"/>
  <c r="A12" i="2"/>
  <c r="A13" i="2" a="1"/>
  <c r="A13" i="2"/>
  <c r="A14" i="2" a="1"/>
  <c r="A14" i="2"/>
  <c r="A15" i="2" a="1"/>
  <c r="A15" i="2" s="1"/>
  <c r="A16" i="2" a="1"/>
  <c r="A16" i="2"/>
  <c r="A17" i="2" a="1"/>
  <c r="A17" i="2"/>
  <c r="A18" i="2" a="1"/>
  <c r="A18" i="2" s="1"/>
  <c r="A19" i="2" a="1"/>
  <c r="A19" i="2" s="1"/>
  <c r="A20" i="2" a="1"/>
  <c r="A20" i="2"/>
  <c r="A21" i="2" a="1"/>
  <c r="A21" i="2"/>
  <c r="A22" i="2" a="1"/>
  <c r="A22" i="2"/>
  <c r="A23" i="2" a="1"/>
  <c r="A23" i="2" s="1"/>
  <c r="A24" i="2" a="1"/>
  <c r="A24" i="2"/>
  <c r="A25" i="2" a="1"/>
  <c r="A25" i="2"/>
  <c r="A26" i="2" a="1"/>
  <c r="A26" i="2"/>
  <c r="A27" i="2" a="1"/>
  <c r="A27" i="2" s="1"/>
  <c r="A28" i="2" a="1"/>
  <c r="A28" i="2"/>
  <c r="A29" i="2" a="1"/>
  <c r="A29" i="2"/>
  <c r="A30" i="2" a="1"/>
  <c r="A30" i="2"/>
  <c r="A31" i="2" a="1"/>
  <c r="A31" i="2" s="1"/>
  <c r="A32" i="2" a="1"/>
  <c r="A32" i="2" s="1"/>
  <c r="A33" i="2" a="1"/>
  <c r="A33" i="2"/>
  <c r="A34" i="2" a="1"/>
  <c r="A34" i="2"/>
  <c r="A35" i="2" a="1"/>
  <c r="A35" i="2" s="1"/>
  <c r="A36" i="2" a="1"/>
  <c r="A36" i="2"/>
  <c r="A37" i="2" a="1"/>
  <c r="A37" i="2"/>
  <c r="A38" i="2" a="1"/>
  <c r="A38" i="2"/>
  <c r="A39" i="2" a="1"/>
  <c r="A39" i="2" s="1"/>
  <c r="A40" i="2" a="1"/>
  <c r="A40" i="2"/>
  <c r="A41" i="2" a="1"/>
  <c r="A41" i="2" s="1"/>
  <c r="A42" i="2" a="1"/>
  <c r="A42" i="2"/>
  <c r="A43" i="2" a="1"/>
  <c r="A43" i="2" s="1"/>
  <c r="A44" i="2" a="1"/>
  <c r="A44" i="2"/>
  <c r="A45" i="2" a="1"/>
  <c r="A45" i="2"/>
  <c r="A46" i="2" a="1"/>
  <c r="A46" i="2"/>
  <c r="A47" i="2" a="1"/>
  <c r="A47" i="2" s="1"/>
  <c r="A48" i="2" a="1"/>
  <c r="A48" i="2"/>
  <c r="A49" i="2" a="1"/>
  <c r="A49" i="2"/>
  <c r="A50" i="2" a="1"/>
  <c r="A50" i="2" s="1"/>
  <c r="A51" i="2" a="1"/>
  <c r="A51" i="2" s="1"/>
  <c r="A52" i="2" a="1"/>
  <c r="A52" i="2"/>
  <c r="A53" i="2" a="1"/>
  <c r="A53" i="2"/>
  <c r="A54" i="2" a="1"/>
  <c r="A54" i="2"/>
  <c r="A55" i="2" a="1"/>
  <c r="A55" i="2" s="1"/>
  <c r="A56" i="2" a="1"/>
  <c r="A56" i="2"/>
  <c r="A57" i="2" a="1"/>
  <c r="A57" i="2"/>
  <c r="A58" i="2" a="1"/>
  <c r="A58" i="2"/>
  <c r="A59" i="2" a="1"/>
  <c r="A59" i="2" s="1"/>
  <c r="A60" i="2" a="1"/>
  <c r="A60" i="2"/>
  <c r="A61" i="2" a="1"/>
  <c r="A61" i="2"/>
  <c r="A62" i="2" a="1"/>
  <c r="A62" i="2"/>
  <c r="A63" i="2" a="1"/>
  <c r="A63" i="2" s="1"/>
  <c r="A64" i="2" a="1"/>
  <c r="A64" i="2" s="1"/>
  <c r="A65" i="2" a="1"/>
  <c r="A65" i="2"/>
  <c r="A66" i="2" a="1"/>
  <c r="A66" i="2"/>
  <c r="A67" i="2" a="1"/>
  <c r="A67" i="2" s="1"/>
  <c r="A68" i="2" a="1"/>
  <c r="A68" i="2"/>
  <c r="A69" i="2" a="1"/>
  <c r="A69" i="2"/>
  <c r="A70" i="2" a="1"/>
  <c r="A70" i="2"/>
  <c r="A71" i="2" a="1"/>
  <c r="A71" i="2" s="1"/>
  <c r="A72" i="2" a="1"/>
  <c r="A72" i="2"/>
  <c r="A73" i="2" a="1"/>
  <c r="A73" i="2" s="1"/>
  <c r="A74" i="2" a="1"/>
  <c r="A74" i="2"/>
  <c r="A75" i="2" a="1"/>
  <c r="A75" i="2" s="1"/>
  <c r="A76" i="2" a="1"/>
  <c r="A76" i="2"/>
  <c r="A77" i="2" a="1"/>
  <c r="A77" i="2"/>
  <c r="A78" i="2" a="1"/>
  <c r="A78" i="2"/>
  <c r="A79" i="2" a="1"/>
  <c r="A79" i="2" s="1"/>
  <c r="A80" i="2" a="1"/>
  <c r="A80" i="2"/>
  <c r="A81" i="2" a="1"/>
  <c r="A81" i="2"/>
  <c r="A82" i="2" a="1"/>
  <c r="A82" i="2" s="1"/>
  <c r="A2" i="2" a="1"/>
  <c r="A2" i="2"/>
  <c r="C2" i="2" s="1"/>
  <c r="I2" i="2"/>
  <c r="G2" i="2"/>
  <c r="F2" i="2"/>
  <c r="E2" i="2"/>
  <c r="D2" i="2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<sst xmlns="http://schemas.openxmlformats.org/spreadsheetml/2006/main" count="292" uniqueCount="257">
  <si>
    <t>================================================================================</t>
  </si>
  <si>
    <t>　　　　取引明細一覧表　　　　　　　　　　　　　出力日：2024/06/30　　PAGE:  1</t>
  </si>
  <si>
    <t>────────────────────────────────────────────────────────────────────────────────────</t>
  </si>
  <si>
    <t>【001000 総務部　　　　　　　】</t>
  </si>
  <si>
    <t>　　　　　　　　　　　　　　　　　　　　　　　　　　　　　　　　　　　小計：    1125500</t>
  </si>
  <si>
    <t>　　　　取引明細一覧表　　　　　　　　　　　　　出力日：2024/06/30　　PAGE:  2</t>
  </si>
  <si>
    <t>【002000 営業第一課　　　　　】</t>
  </si>
  <si>
    <t>　　　　　　　　　　　　　　　　　　　　　　　　　　　　　　　　　　　小計：    2446000</t>
  </si>
  <si>
    <t>　　　　取引明細一覧表　　　　　　　　　　　　　出力日：2024/06/30　　PAGE:  3</t>
  </si>
  <si>
    <t>【003000 営業第二課　　　　　】</t>
  </si>
  <si>
    <t>　　　　　　　　　　　　　　　　　　　　　　　　　　　　　　　　　　　小計：    1563000</t>
  </si>
  <si>
    <t>　　　　取引明細一覧表　　　　　　　　　　　　　出力日：2024/06/30　　PAGE:  4</t>
  </si>
  <si>
    <t>【004000 製造部　　　　　　　】</t>
  </si>
  <si>
    <t>　　　　　　　　　　　　　　　　　　　　　　　　　　　　　　　　　　　小計：    3641000</t>
  </si>
  <si>
    <t>　　　　取引明細一覧表　　　　　　　　　　　　　出力日：2024/06/30　　PAGE:  5</t>
  </si>
  <si>
    <t>【005000 経理部　　　　　　　】</t>
  </si>
  <si>
    <t>　　　　　　　　　　　　　　　　　　　　　　　　　　　　　　　　　　　小計：    1621000</t>
  </si>
  <si>
    <t>　　　　　　　　　　　　　　　　　　　　　　　　　　　　　　　合計：   10396500</t>
  </si>
  <si>
    <t>部署CD 従業員CD  氏名　　　　　　　　　 取引日　　 取引先名　　　　　　　　　　　　 金額　　　　 摘要</t>
  </si>
  <si>
    <t>001000 EMP-00101 佐藤　一郎　　　　　　 2024/06/01 株式会社北都商事　　　　　　　　     125000 事務用品購入　　　　　</t>
  </si>
  <si>
    <t>001000 EMP-00101 佐藤　一郎　　　　　　 2024/06/05 有限会社南海物産　　　　　　　　      48000 消耗品補充　　　　　　</t>
  </si>
  <si>
    <t>001000 EMP-00102 鈴木　花子　　　　　　 2024/06/03 合同会社東西サービス　　　　　　      72000 清掃業務委託　　　　　</t>
  </si>
  <si>
    <t>001000 EMP-00102 鈴木　花子　　　　　　 2024/06/10 株式会社北都商事　　　　　　　　      33500 コピー用紙発注　　　　</t>
  </si>
  <si>
    <t>001000 EMP-00102 鈴木　花子　　　　　　 2024/06/18 個人事業主田中建設　　　　　　　     185000 修繕工事代金　　　　　</t>
  </si>
  <si>
    <t>001000 EMP-00103 高橋　健太　　　　　　 2024/06/07 株式会社中央システム　　　　　　      96000 PC保守契約　　　　　　</t>
  </si>
  <si>
    <t>001000 EMP-00103 高橋　健太　　　　　　 2024/06/12 合同会社東西サービス　　　　　　      15000 名刺印刷　　　　　　　</t>
  </si>
  <si>
    <t>001000 EMP-00103 高橋　健太　　　　　　 2024/06/20 有限会社南海物産　　　　　　　　      62000 備品購入　　　　　　　</t>
  </si>
  <si>
    <t>001000 EMP-00104 渡辺　美咲　　　　　　 2024/06/08 株式会社北都商事　　　　　　　　      27500 封筒印刷　　　　　　　</t>
  </si>
  <si>
    <t>001000 EMP-00104 渡辺　美咲　　　　　　 2024/06/15 株式会社中央システム　　　　　　     110000 サーバー保守　　　　　</t>
  </si>
  <si>
    <t>001000 EMP-00104 渡辺　美咲　　　　　　 2024/06/22 有限会社南海物産　　　　　　　　      44000 衛生用品購入　　　　　</t>
  </si>
  <si>
    <t>001000 EMP-00105 伊藤　大輔　　　　　　 2024/06/11 個人事業主田中建設　　　　　　　     230000 空調設備点検　　　　　</t>
  </si>
  <si>
    <t>001000 EMP-00105 伊藤　大輔　　　　　　 2024/06/25 合同会社東西サービス　　　　　　      58000 警備業務委託　　　　　</t>
  </si>
  <si>
    <t>001000 EMP-00105 伊藤　大輔　　　　　　 2024/06/28 株式会社北都商事　　　　　　　　      19500 文具発注　　　　　　　</t>
  </si>
  <si>
    <t>002000 EMP-00201 中村　翔太　　　　　　 2024/06/02 株式会社西日本工業　　　　　　　     340000 製品納品代金　　　　　</t>
  </si>
  <si>
    <t>002000 EMP-00201 中村　翔太　　　　　　 2024/06/09 有限会社丸山製作所　　　　　　　     187000 部品調達費　　　　　　</t>
  </si>
  <si>
    <t>002000 EMP-00201 中村　翔太　　　　　　 2024/06/16 株式会社大和運輸　　　　　　　　      55000 配送料　　　　　　　　</t>
  </si>
  <si>
    <t>002000 EMP-00202 小林　真由美　　　　　 2024/06/04 合同会社グローバル通商　　　　　     420000 輸入代行手数料　　　　</t>
  </si>
  <si>
    <t>002000 EMP-00202 小林　真由美　　　　　 2024/06/13 株式会社西日本工業　　　　　　　     215000 金型製作費　　　　　　</t>
  </si>
  <si>
    <t>002000 EMP-00202 小林　真由美　　　　　 2024/06/19 有限会社丸山製作所　　　　　　　      78000 試作品費用　　　　　　</t>
  </si>
  <si>
    <t>002000 EMP-00202 小林　真由美　　　　　 2024/06/26 株式会社大和運輸　　　　　　　　      42000 梱包資材　　　　　　　</t>
  </si>
  <si>
    <t>002000 EMP-00203 松本　裕也　　　　　　 2024/06/06 株式会社西日本工業　　　　　　　     290000 設備部品納品　　　　　</t>
  </si>
  <si>
    <t>002000 EMP-00203 松本　裕也　　　　　　 2024/06/14 合同会社グローバル通商　　　　　     156000 通関手数料　　　　　　</t>
  </si>
  <si>
    <t>002000 EMP-00203 松本　裕也　　　　　　 2024/06/21 有限会社丸山製作所　　　　　　　      88000 検査費用　　　　　　　</t>
  </si>
  <si>
    <t>002000 EMP-00204 吉田　あかり　　　　　 2024/06/10 株式会社大和運輸　　　　　　　　      67000 特急配送料　　　　　　</t>
  </si>
  <si>
    <t>002000 EMP-00204 吉田　あかり　　　　　 2024/06/23 株式会社西日本工業　　　　　　　     198000 追加発注分　　　　　　</t>
  </si>
  <si>
    <t>002000 EMP-00204 吉田　あかり　　　　　 2024/06/29 合同会社グローバル通商　　　　　     310000 海外送金手数料　　　　</t>
  </si>
  <si>
    <t>003000 EMP-00301 山本　拓海　　　　　　 2024/06/01 株式会社千代田電機　　　　　　　     178000 電気部品納品　　　　　</t>
  </si>
  <si>
    <t>003000 EMP-00301 山本　拓海　　　　　　 2024/06/08 有限会社光陽産業　　　　　　　　      93000 樹脂成形品　　　　　　</t>
  </si>
  <si>
    <t>003000 EMP-00301 山本　拓海　　　　　　 2024/06/17 株式会社千代田電機　　　　　　　     245000 制御盤製作　　　　　　</t>
  </si>
  <si>
    <t>003000 EMP-00301 山本　拓海　　　　　　 2024/06/24 合同会社みらい技研　　　　　　　      56000 技術資料作成　　　　　</t>
  </si>
  <si>
    <t>003000 EMP-00302 井上　さくら　　　　　 2024/06/03 有限会社光陽産業　　　　　　　　     132000 金属加工品　　　　　　</t>
  </si>
  <si>
    <t>003000 EMP-00302 井上　さくら　　　　　 2024/06/11 株式会社千代田電機　　　　　　　      67000 配線部材　　　　　　　</t>
  </si>
  <si>
    <t>003000 EMP-00302 井上　さくら　　　　　 2024/06/20 合同会社みらい技研　　　　　　　     205000 設計委託費　　　　　　</t>
  </si>
  <si>
    <t>003000 EMP-00303 木村　蓮　　　　　　　 2024/06/05 株式会社千代田電機　　　　　　　     310000 変圧器納品　　　　　　</t>
  </si>
  <si>
    <t>003000 EMP-00303 木村　蓮　　　　　　　 2024/06/15 有限会社光陽産業　　　　　　　　      88000 試作品費用　　　　　　</t>
  </si>
  <si>
    <t>003000 EMP-00303 木村　蓮　　　　　　　 2024/06/22 合同会社みらい技研　　　　　　　     147000 評価試験費　　　　　　</t>
  </si>
  <si>
    <t>003000 EMP-00303 木村　蓮　　　　　　　 2024/06/28 株式会社千代田電機　　　　　　　      42000 端子台発注　　　　　　</t>
  </si>
  <si>
    <t>004000 EMP-00401 加藤　雄大　　　　　　 2024/06/02 株式会社三河鉄工　　　　　　　　     520000 鋼材仕入　　　　　　　</t>
  </si>
  <si>
    <t>004000 EMP-00401 加藤　雄大　　　　　　 2024/06/07 有限会社富士化学工業　　　　　　     183000 溶剤購入　　　　　　　</t>
  </si>
  <si>
    <t>004000 EMP-00401 加藤　雄大　　　　　　 2024/06/14 株式会社三河鉄工　　　　　　　　     275000 特殊鋼材追加　　　　　</t>
  </si>
  <si>
    <t>004000 EMP-00401 加藤　雄大　　　　　　 2024/06/21 合同会社精密工機　　　　　　　　     148000 切削工具　　　　　　　</t>
  </si>
  <si>
    <t>004000 EMP-00401 加藤　雄大　　　　　　 2024/06/27 有限会社富士化学工業　　　　　　      92000 塗料購入　　　　　　　</t>
  </si>
  <si>
    <t>004000 EMP-00402 林　　美穂　　　　　　 2024/06/04 株式会社三河鉄工　　　　　　　　     310000 アルミ材仕入　　　　　</t>
  </si>
  <si>
    <t>004000 EMP-00402 林　　美穂　　　　　　 2024/06/12 合同会社精密工機　　　　　　　　     225000 研磨機部品　　　　　　</t>
  </si>
  <si>
    <t>004000 EMP-00402 林　　美穂　　　　　　 2024/06/19 有限会社富士化学工業　　　　　　      67000 接着剤発注　　　　　　</t>
  </si>
  <si>
    <t>004000 EMP-00402 林　　美穂　　　　　　 2024/06/25 株式会社三河鉄工　　　　　　　　     158000 ステンレス材　　　　　</t>
  </si>
  <si>
    <t>004000 EMP-00403 斎藤　陽介　　　　　　 2024/06/06 合同会社精密工機　　　　　　　　     430000 旋盤刃物交換　　　　　</t>
  </si>
  <si>
    <t>004000 EMP-00403 斎藤　陽介　　　　　　 2024/06/13 株式会社三河鉄工　　　　　　　　     195000 銅材仕入　　　　　　　</t>
  </si>
  <si>
    <t>004000 EMP-00403 斎藤　陽介　　　　　　 2024/06/18 有限会社富士化学工業　　　　　　     114000 防錆剤購入　　　　　　</t>
  </si>
  <si>
    <t>004000 EMP-00403 斎藤　陽介　　　　　　 2024/06/26 合同会社精密工機　　　　　　　　      76000 測定器校正　　　　　　</t>
  </si>
  <si>
    <t>004000 EMP-00404 清水　結衣　　　　　　 2024/06/09 株式会社三河鉄工　　　　　　　　     265000 合金材仕入　　　　　　</t>
  </si>
  <si>
    <t>004000 EMP-00404 清水　結衣　　　　　　 2024/06/16 有限会社富士化学工業　　　　　　      53000 洗浄液発注　　　　　　</t>
  </si>
  <si>
    <t>004000 EMP-00404 清水　結衣　　　　　　 2024/06/23 合同会社精密工機　　　　　　　　     188000 プレス金型修理　　　　</t>
  </si>
  <si>
    <t>004000 EMP-00404 清水　結衣　　　　　　 2024/06/30 株式会社三河鉄工　　　　　　　　     342000 チタン材仕入　　　　　</t>
  </si>
  <si>
    <t>005000 EMP-00501 山口　直樹　　　　　　 2024/06/03 税理士法人青山会計　　　　　　　     350000 顧問料　　　　　　　　</t>
  </si>
  <si>
    <t>005000 EMP-00501 山口　直樹　　　　　　 2024/06/10 株式会社日本信用調査　　　　　　      85000 信用調査費　　　　　　</t>
  </si>
  <si>
    <t>005000 EMP-00501 山口　直樹　　　　　　 2024/06/17 合同会社オフィスサポート　　　　      46000 複合機リース料　　　　</t>
  </si>
  <si>
    <t>005000 EMP-00501 山口　直樹　　　　　　 2024/06/24 税理士法人青山会計　　　　　　　     120000 決算書類作成　　　　　</t>
  </si>
  <si>
    <t>005000 EMP-00502 前田　琴音　　　　　　 2024/06/05 株式会社日本信用調査　　　　　　      72000 企業情報照会　　　　　</t>
  </si>
  <si>
    <t>005000 EMP-00502 前田　琴音　　　　　　 2024/06/12 合同会社オフィスサポート　　　　      38000 シュレッダーリース　　</t>
  </si>
  <si>
    <t>005000 EMP-00502 前田　琴音　　　　　　 2024/06/19 税理士法人青山会計　　　　　　　      95000 税務相談料　　　　　　</t>
  </si>
  <si>
    <t>005000 EMP-00502 前田　琴音　　　　　　 2024/06/27 株式会社日本信用調査　　　　　　     160000 与信審査費　　　　　　</t>
  </si>
  <si>
    <t>005000 EMP-00503 藤田　悠人　　　　　　 2024/06/06 合同会社オフィスサポート　　　　      29000 トナー購入　　　　　　</t>
  </si>
  <si>
    <t>005000 EMP-00503 藤田　悠人　　　　　　 2024/06/14 税理士法人青山会計　　　　　　　     210000 中間監査対応　　　　　</t>
  </si>
  <si>
    <t>005000 EMP-00503 藤田　悠人　　　　　　 2024/06/20 株式会社日本信用調査　　　　　　      55000 反社チェック費　　　　</t>
  </si>
  <si>
    <t>005000 EMP-00503 藤田　悠人　　　　　　 2024/06/28 合同会社オフィスサポート　　　　      82000 書類保管サービス　　　</t>
  </si>
  <si>
    <t>005000 EMP-00504 岡田　七海　　　　　　 2024/06/08 税理士法人青山会計　　　　　　　     175000 年末調整委託　　　　　</t>
  </si>
  <si>
    <t>005000 EMP-00504 岡田　七海　　　　　　 2024/06/15 株式会社日本信用調査　　　　　　      63000 登記簿取得代行　　　　</t>
  </si>
  <si>
    <t>005000 EMP-00504 岡田　七海　　　　　　 2024/06/22 合同会社オフィスサポート　　　　      41000 事務机リース料　　　　</t>
  </si>
  <si>
    <t>番号</t>
    <rPh sb="0" eb="2">
      <t>バンゴウ</t>
    </rPh>
    <phoneticPr fontId="1"/>
  </si>
  <si>
    <t>部署CD</t>
    <phoneticPr fontId="1"/>
  </si>
  <si>
    <t>従業員CD</t>
  </si>
  <si>
    <t>氏名</t>
    <rPh sb="0" eb="2">
      <t>シメイ</t>
    </rPh>
    <phoneticPr fontId="1"/>
  </si>
  <si>
    <t>取引日</t>
    <rPh sb="0" eb="3">
      <t>トリヒキビ</t>
    </rPh>
    <phoneticPr fontId="1"/>
  </si>
  <si>
    <t>取引先名</t>
    <rPh sb="0" eb="3">
      <t>トリヒキサキ</t>
    </rPh>
    <rPh sb="3" eb="4">
      <t>メイ</t>
    </rPh>
    <phoneticPr fontId="1"/>
  </si>
  <si>
    <t>金額</t>
    <rPh sb="0" eb="2">
      <t>キンガク</t>
    </rPh>
    <phoneticPr fontId="1"/>
  </si>
  <si>
    <t>適用</t>
    <rPh sb="0" eb="2">
      <t>テキヨウ</t>
    </rPh>
    <phoneticPr fontId="1"/>
  </si>
  <si>
    <t>固定長テキスト整形テンプレート ― カスタマイズ手順書</t>
  </si>
  <si>
    <t>■ このテンプレートの仕組み</t>
  </si>
  <si>
    <t>処理の流れ</t>
  </si>
  <si>
    <t>③ 抽出シートが目印の付いた行だけを取り込む</t>
  </si>
  <si>
    <t>④ 抽出シートのMIDB関数でバイト位置ごとに項目を切り出す</t>
  </si>
  <si>
    <t>※ この2段階構成によりMIDB関数はデータ行の数だけで済み、数式が最小限になります</t>
  </si>
  <si>
    <t>現在のサンプルデータのバイト位置定義は以下の通りです。</t>
  </si>
  <si>
    <t>3. 抽出シートでデータ行だけが取り込まれていることを確認</t>
  </si>
  <si>
    <t>4. MIDB列で各項目が正しく切り出されていることを確認</t>
  </si>
  <si>
    <t>■ MIDB関数がExcelに表示されない場合</t>
  </si>
  <si>
    <t>■ 対応Excelバージョン</t>
  </si>
  <si>
    <t>■ バイト位置の数え方</t>
  </si>
  <si>
    <t>⑤ TRIM関数で切り出し後の余分なスペースを除去する</t>
  </si>
  <si>
    <t>■ 使用している関数の説明</t>
  </si>
  <si>
    <t>【MIDB関数】</t>
  </si>
  <si>
    <t>書式：MIDB(文字列, 開始位置, バイト数)</t>
  </si>
  <si>
    <t>文字列のバイト位置を指定して切り出す関数です。</t>
  </si>
  <si>
    <t>固定長テキストでは全角＝2バイト、半角＝1バイトで各項目の位置が決まっているため、</t>
  </si>
  <si>
    <t>MID（文字数単位）ではなくMIDB（バイト単位）を使います。</t>
  </si>
  <si>
    <t>例：=MIDB(A2, 8, 9) → A2セルの8バイト目から9バイト分を切り出す</t>
  </si>
  <si>
    <t>【TRIM関数】</t>
  </si>
  <si>
    <t>書式：TRIM(文字列)</t>
  </si>
  <si>
    <t>文字列の先頭と末尾のスペースを除去し、単語間のスペースを1つにまとめる関数です。</t>
  </si>
  <si>
    <t>固定長テキストでは各項目が決まったバイト数で区切られており、</t>
  </si>
  <si>
    <t>短い文字列は残りがスペース（空白）で埋められています。</t>
  </si>
  <si>
    <t>例：「佐藤　一郎　　　　　　」→ TRIM適用後 →「佐藤　一郎」</t>
  </si>
  <si>
    <t>MIDBで切り出しただけでは後ろにスペースが大量に残るため、</t>
  </si>
  <si>
    <t>必ずTRIM(MIDB(...))の形で組み合わせて使用します。</t>
  </si>
  <si>
    <t>※ TRIM関数は半角スペースのみ除去します。全角スペースは除去されません。</t>
  </si>
  <si>
    <t>　 固定長テキストの埋め文字が全角スペースの場合は</t>
  </si>
  <si>
    <t>　 SUBSTITUTE関数で全角スペースを半角スペースに置換してからTRIMをかけるか、</t>
  </si>
  <si>
    <t>　 別途対処が必要です。</t>
  </si>
  <si>
    <t>【VALUE関数】</t>
  </si>
  <si>
    <t>書式：VALUE(文字列)</t>
  </si>
  <si>
    <t>文字列を数値に変換する関数です。</t>
  </si>
  <si>
    <t>MIDBで切り出した金額は文字列として取得されるため、</t>
  </si>
  <si>
    <t>VALUE(TRIM(MIDB(...)))の形で数値に変換しています。</t>
  </si>
  <si>
    <t>これにより合計や集計の計算が可能になります。</t>
  </si>
  <si>
    <t>■ カスタマイズ手順</t>
  </si>
  <si>
    <t>────────────────────────────────────────</t>
  </si>
  <si>
    <t>STEP 0：自分の固定長テキストを用意する</t>
  </si>
  <si>
    <t>メモ帳やテキストエディタ（サクラエディタ、秀丸など）で</t>
  </si>
  <si>
    <t>固定長テキストファイルを開き、1行の構造を確認します。</t>
  </si>
  <si>
    <t>全角文字＝2バイト、半角文字＝1バイトです。</t>
  </si>
  <si>
    <t>STEP 1：バイト位置を確認する</t>
  </si>
  <si>
    <t xml:space="preserve">  項目名　　　開始バイト　バイト数　型</t>
  </si>
  <si>
    <t xml:space="preserve">  ─────────────────────────────────</t>
  </si>
  <si>
    <t xml:space="preserve">  部署CD　　　　 1　　　　　 6　　　半角</t>
  </si>
  <si>
    <t xml:space="preserve">  従業員CD　　　 8　　　　　 9　　　半角</t>
  </si>
  <si>
    <t>自分のデータと異なる場合はSTEP 3で書き換えます。</t>
  </si>
  <si>
    <t>STEP 2：貼付シートの判定式を自分のデータに合わせる</t>
  </si>
  <si>
    <t>貼付シートではデータ行に行番号を付ける判定式があります。</t>
  </si>
  <si>
    <t>以下の文字列で不要行を除外しています。</t>
  </si>
  <si>
    <t xml:space="preserve">  「====」　　→ 区切り線</t>
  </si>
  <si>
    <t xml:space="preserve">  「────」　　→ 罫線</t>
  </si>
  <si>
    <t xml:space="preserve">  「取引明細」→ ページヘッダー</t>
  </si>
  <si>
    <t xml:space="preserve">  「部署CD」　→ 列見出し</t>
  </si>
  <si>
    <t xml:space="preserve">  「【」　　　→ 部署名行</t>
  </si>
  <si>
    <t xml:space="preserve">  「小計：」　→ 小計行</t>
  </si>
  <si>
    <t xml:space="preserve">  「合計：」　→ 合計行</t>
  </si>
  <si>
    <t xml:space="preserve">  空白行</t>
  </si>
  <si>
    <t>自分の帳票に合わせてこれらの判定文字列を書き換えてください。</t>
  </si>
  <si>
    <t>例：ヘッダーが「売上明細表」なら「取引明細」を「売上明細」に変更します。</t>
  </si>
  <si>
    <t>STEP 3：抽出シートのMIDB関数を書き換える</t>
  </si>
  <si>
    <t>各列のMIDB関数の第2引数（開始バイト）と第3引数（バイト数）を</t>
  </si>
  <si>
    <t>STEP 1で確認した値に書き換えます。</t>
  </si>
  <si>
    <t xml:space="preserve">  現在の設定：</t>
  </si>
  <si>
    <t xml:space="preserve">  部署CD　　 =TRIM(MIDB(A2, 1, 6))</t>
  </si>
  <si>
    <t xml:space="preserve">  従業員CD　 =TRIM(MIDB(A2, 8, 9))</t>
  </si>
  <si>
    <t>書き換えるのはMIDBの第2引数（開始バイト）と第3引数（バイト数）の数字です。</t>
  </si>
  <si>
    <t>1行目を書き換えたら最終データ行までコピーしてください。</t>
  </si>
  <si>
    <t>※ 金額以外の項目はTRIM(MIDB(...))の形です。</t>
  </si>
  <si>
    <t>　 金額はVALUE(TRIM(MIDB(...)))の形で数値変換しています。</t>
  </si>
  <si>
    <t>　 新しく追加する項目が数値の場合はVALUEで囲んでください。</t>
  </si>
  <si>
    <t>STEP 4：項目を増やす・減らす</t>
  </si>
  <si>
    <t>追加する場合：</t>
  </si>
  <si>
    <t xml:space="preserve">  既存のMIDB列をコピーして右に挿入し、開始バイトとバイト数を変更します。</t>
  </si>
  <si>
    <t xml:space="preserve">  見出し行も忘れずに追加してください。</t>
  </si>
  <si>
    <t xml:space="preserve">  文字項目なら =TRIM(MIDB(A2, 開始, バイト数))</t>
  </si>
  <si>
    <t xml:space="preserve">  数値項目なら =VALUE(TRIM(MIDB(A2, 開始, バイト数)))</t>
  </si>
  <si>
    <t>削除する場合：</t>
  </si>
  <si>
    <t xml:space="preserve">  不要な列を削除するだけです。他の列の数式には影響しません。</t>
  </si>
  <si>
    <t>STEP 5：動作確認</t>
  </si>
  <si>
    <t>5. 金額列が数値になっていることを確認（SUMで合計できればOK）</t>
  </si>
  <si>
    <t>よくあるエラー：</t>
  </si>
  <si>
    <t xml:space="preserve">  文字化け　　→ テキストの文字コードがShift_JISか確認</t>
  </si>
  <si>
    <t xml:space="preserve">  項目がずれる→ バイト位置の数え間違い（全角は2バイト）</t>
  </si>
  <si>
    <t xml:space="preserve">  #VALUE!　　 → 金額欄にスペースや記号が混入している</t>
  </si>
  <si>
    <t xml:space="preserve">  後ろにスペースが残る → TRIM関数が入っているか確認</t>
  </si>
  <si>
    <t xml:space="preserve">  全角スペースが残る　 → TRIMは半角スペースのみ除去のため別途対処が必要</t>
  </si>
  <si>
    <t>これはMicrosoftがLEN・MID等をUnicode対応に改良した際に</t>
  </si>
  <si>
    <t>バイト系関数（MIDB・LENB・LEFTB等）がUI上から非表示になったためです。</t>
  </si>
  <si>
    <t>関数自体は削除されていません。</t>
  </si>
  <si>
    <t>対処法：セルに直接 =MIDB( と手入力すれば正常に動作します。</t>
  </si>
  <si>
    <t>このテンプレートには数式が埋め込み済みのため通常の使用では問題ありません。</t>
  </si>
  <si>
    <t>STEP 3で数式を書き換える際のみ手入力が必要です。</t>
  </si>
  <si>
    <t>Excel 2016 / 2019 / 2021 / 2024 デスクトップ版 → 問題なし</t>
  </si>
  <si>
    <t>Microsoft 365 デスクトップ版 → 問題なし（上記MIDB注意事項あり）</t>
  </si>
  <si>
    <t>Excel Online（Web版） → MIDB関数が使用できないため非対応</t>
  </si>
  <si>
    <t>※ VBA・マクロは一切使用していません。</t>
  </si>
  <si>
    <t>固定長テキストでは文字の種類によってバイト数が異なります。</t>
  </si>
  <si>
    <t xml:space="preserve">  半角英数字・半角カナ　＝ 1バイト</t>
  </si>
  <si>
    <t xml:space="preserve">  全角ひらがな・カタカナ・漢字・全角記号　＝ 2バイト</t>
  </si>
  <si>
    <t xml:space="preserve">  半角スペース　＝ 1バイト</t>
  </si>
  <si>
    <t xml:space="preserve">  全角スペース　＝ 2バイト</t>
  </si>
  <si>
    <t>例：「001000 EMP-00101 佐藤　一郎」の場合</t>
  </si>
  <si>
    <t xml:space="preserve">  001000　　　→ 半角6文字 → 6バイト（1～6バイト目）</t>
  </si>
  <si>
    <t xml:space="preserve">  半角スペース→ 1文字 → 1バイト（7バイト目）</t>
  </si>
  <si>
    <t xml:space="preserve">  EMP-00101　 → 半角9文字 → 9バイト（8～16バイト目）</t>
  </si>
  <si>
    <t>慣れないうちはExcelで =LENB(A1) と入力してバイト数を確認してください。</t>
  </si>
  <si>
    <t>② 判定列（貼付シートA列）でデータ行だけに行番号の目印が付く（不要行は空欄になる）</t>
  </si>
  <si>
    <t>① 貼付シートのB1セルに固定長テキストをそのまま貼り付ける</t>
  </si>
  <si>
    <t>1. 貼付シートのB1セルに自分のテキストデータを貼り付ける</t>
  </si>
  <si>
    <t>2. 判定列（A列）でデータ行に番号が付いていることを確認</t>
  </si>
  <si>
    <t>■ データが200行を超える場合</t>
  </si>
  <si>
    <t>抽出シートは初期状態で200行分の数式が入っています。</t>
  </si>
  <si>
    <t>200行を超えるデータの場合は、抽出シートの最終行の数式を</t>
  </si>
  <si>
    <t>必要な行数分だけ下にコピーしてください。</t>
  </si>
  <si>
    <t>A列（元テキスト取り込み）とB列以降（MIDB切り出し）の両方を</t>
  </si>
  <si>
    <t>同じ行数分コピーする必要があります。</t>
  </si>
  <si>
    <t>Microsoft 365の最新版ではMIDB関数が数式タブや予測入力の候補に</t>
  </si>
  <si>
    <t>表示されないことがあります。</t>
  </si>
  <si>
    <t>■ FILTER関数による別の方法について</t>
  </si>
  <si>
    <t>Excel 2021以降またはMicrosoft 365をお使いの場合、</t>
  </si>
  <si>
    <t>FILTER関数を使うことで抽出シートのA列の取り込みをより簡潔に書くことができます。</t>
  </si>
  <si>
    <t>例：=FILTER(貼付!B:B, 貼付!A:A&lt;&gt;"")</t>
  </si>
  <si>
    <t>これにより貼付シートで目印が付いた行だけを一括で抽出できます。</t>
  </si>
  <si>
    <t>ただし本テンプレートでは以下の理由からFILTER関数を使用していません。</t>
  </si>
  <si>
    <t>・Excel 2016／2019では FILTER関数が使用できない</t>
  </si>
  <si>
    <t>・今後の応用（複数行にまたがるレコードの結合、親情報の補完など）では</t>
  </si>
  <si>
    <t>　FILTER関数だけでは対応が難しく、行の並び順や位置関係の制御が必要になる</t>
  </si>
  <si>
    <t>・まず固定長整形の基本的な考え方（判定→抽出→切り出し）を</t>
  </si>
  <si>
    <t>　理解していただくことを優先した設計にしている</t>
  </si>
  <si>
    <t>FILTER関数に慣れている方は、このテンプレートの仕組みを理解した上で</t>
  </si>
  <si>
    <t>ご自身の環境に合わせて置き換えていただいても構いません。</t>
  </si>
  <si>
    <t xml:space="preserve">  氏名　　　　　18　　　　　23　　　全角混在</t>
    <phoneticPr fontId="1"/>
  </si>
  <si>
    <t xml:space="preserve">  取引日　　　　41　　　　　10　　　半角</t>
    <phoneticPr fontId="1"/>
  </si>
  <si>
    <t xml:space="preserve">  取引先名　　　52　　　　　35　　　全角混在</t>
    <phoneticPr fontId="1"/>
  </si>
  <si>
    <t xml:space="preserve">  金額　　　　　85　　　　　10　　　半角数字</t>
    <phoneticPr fontId="1"/>
  </si>
  <si>
    <t xml:space="preserve">  摘要　　　　　96　　　　　25　　　全角混在</t>
    <phoneticPr fontId="1"/>
  </si>
  <si>
    <t xml:space="preserve">  氏名　　　 =TRIM(MIDB(A2, 18, 23))</t>
    <phoneticPr fontId="1"/>
  </si>
  <si>
    <t xml:space="preserve">  取引日　　 =TRIM(MIDB(A2, 41, 10))</t>
    <phoneticPr fontId="1"/>
  </si>
  <si>
    <t xml:space="preserve">  取引先名　 =TRIM(MIDB(A2, 52, 35))</t>
    <phoneticPr fontId="1"/>
  </si>
  <si>
    <t xml:space="preserve">  金額　　　 =VALUE(TRIM(MIDB(A2, 85, 10)))</t>
    <phoneticPr fontId="1"/>
  </si>
  <si>
    <t xml:space="preserve">  摘要　　　 =TRIM(MIDB(A2, 96, 25))</t>
    <phoneticPr fontId="1"/>
  </si>
  <si>
    <t>【開発者コラム】抽出ロジックの設計思想：安定と速度のバランス</t>
  </si>
  <si>
    <t>本テンプレートの数式には、実務での「確実性」を最優先した設計思想が詰まっています。なぜ最新の関数や最速のロジックではなく、現在の数式を採用しているのか、その理由を解説します。</t>
  </si>
  <si>
    <t>1. なぜ「SMALL関数」を採用しているのか（現在の設定）</t>
  </si>
  <si>
    <r>
      <t>本シートでは</t>
    </r>
    <r>
      <rPr>
        <sz val="10"/>
        <color theme="1"/>
        <rFont val="Arial Unicode MS"/>
        <family val="2"/>
      </rPr>
      <t>INDEX</t>
    </r>
    <r>
      <rPr>
        <sz val="11"/>
        <color theme="1"/>
        <rFont val="游ゴシック"/>
        <family val="2"/>
        <charset val="128"/>
        <scheme val="minor"/>
      </rPr>
      <t>関数と</t>
    </r>
    <r>
      <rPr>
        <sz val="10"/>
        <color theme="1"/>
        <rFont val="Arial Unicode MS"/>
        <family val="2"/>
      </rPr>
      <t>SMALL</t>
    </r>
    <r>
      <rPr>
        <sz val="11"/>
        <color theme="1"/>
        <rFont val="游ゴシック"/>
        <family val="2"/>
        <charset val="128"/>
        <scheme val="minor"/>
      </rPr>
      <t>関数を組み合わせた抽出を行っています。</t>
    </r>
  </si>
  <si>
    <r>
      <t>メリット（使いやすさ）：</t>
    </r>
    <r>
      <rPr>
        <sz val="11"/>
        <color theme="1"/>
        <rFont val="游ゴシック"/>
        <family val="2"/>
        <charset val="128"/>
        <scheme val="minor"/>
      </rPr>
      <t xml:space="preserve"> 特別な「作業列（連番）」を自前で作る必要がなく、データを貼り付けるだけで動きます。ユーザーが数式を壊すリスクが最も低い、安定した方式です。</t>
    </r>
  </si>
  <si>
    <r>
      <t>安定性：</t>
    </r>
    <r>
      <rPr>
        <sz val="11"/>
        <color theme="1"/>
        <rFont val="游ゴシック"/>
        <family val="2"/>
        <charset val="128"/>
        <scheme val="minor"/>
      </rPr>
      <t xml:space="preserve"> 32ビット版Excelなどのメモリ制限が厳しい環境でも、1行ずつ着実に処理を行うため、数万行〜数十万行の巨大データでも強制終了しにくい「タフな設計」です。</t>
    </r>
  </si>
  <si>
    <t>2. さらに高速化したい方へ（MATCH関数の可能性）</t>
  </si>
  <si>
    <t>もしあなたが数十万行のデータを扱い、コンマ数秒の計算速度すら犠牲にしたくない場合、さらに高速な「MATCH関数」による手法が存在します。</t>
  </si>
  <si>
    <t>3. メモリと動作環境についてのヒント</t>
  </si>
  <si>
    <t>Excelには「計算の速さ」と「メモリの消費」のトレードオフがあります。</t>
  </si>
  <si>
    <r>
      <t>一括処理（FILTER等）：</t>
    </r>
    <r>
      <rPr>
        <sz val="11"/>
        <color theme="1"/>
        <rFont val="游ゴシック"/>
        <family val="2"/>
        <charset val="128"/>
        <scheme val="minor"/>
      </rPr>
      <t xml:space="preserve"> 計算は速いですが、一度に巨大なデータをメモリに載せるため、環境によってはエラー（リソース不足）で落ちることがあります。</t>
    </r>
  </si>
  <si>
    <r>
      <t>個別処理（本シート）：</t>
    </r>
    <r>
      <rPr>
        <sz val="11"/>
        <color theme="1"/>
        <rFont val="游ゴシック"/>
        <family val="2"/>
        <charset val="128"/>
        <scheme val="minor"/>
      </rPr>
      <t xml:space="preserve"> 多少時間はかかりますが、メモリを一度に消費しないため、古いPCや大規模データでも「最後までやり抜く」ことができます。</t>
    </r>
  </si>
  <si>
    <r>
      <t>設計者のメッセージ：</t>
    </r>
    <r>
      <rPr>
        <sz val="11"/>
        <color theme="1"/>
        <rFont val="游ゴシック"/>
        <family val="2"/>
        <charset val="128"/>
        <scheme val="minor"/>
      </rPr>
      <t xml:space="preserve"> &gt; 「とにかく速いだけの道具」よりも、**「どんな環境でも、誰が使っても、確実に結果が出る道具」**であること。それが、60万行の現場を経験して辿り着いた、実務ツールの黄金比です。</t>
    </r>
  </si>
  <si>
    <r>
      <t>導入の壁：</t>
    </r>
    <r>
      <rPr>
        <sz val="11"/>
        <color theme="1"/>
        <rFont val="游ゴシック"/>
        <family val="2"/>
        <charset val="128"/>
        <scheme val="minor"/>
      </rPr>
      <t xml:space="preserve"> ただし、これには「抽出対象だけに1, 2, 3...と完璧な連番（シリアル番号）を振る」という高度な前処理が必要です。空白行が一つあるだけで計算が狂うため、非常に繊細な管理が求められます。</t>
    </r>
    <phoneticPr fontId="1"/>
  </si>
  <si>
    <r>
      <t>圧倒的な速さ：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0"/>
        <color theme="1"/>
        <rFont val="Arial Unicode MS"/>
        <family val="2"/>
      </rPr>
      <t>MATCH</t>
    </r>
    <r>
      <rPr>
        <sz val="10"/>
        <color theme="1"/>
        <rFont val="ＭＳ ゴシック"/>
        <family val="3"/>
        <charset val="128"/>
      </rPr>
      <t>関数の「近似一致」を利用すれば、数万行規模のデータでも高速に検索が可能です。</t>
    </r>
    <r>
      <rPr>
        <sz val="10"/>
        <color theme="1"/>
        <rFont val="Arial"/>
        <family val="2"/>
      </rPr>
      <t>SMALL</t>
    </r>
    <r>
      <rPr>
        <sz val="10"/>
        <color theme="1"/>
        <rFont val="ＭＳ ゴシック"/>
        <family val="3"/>
        <charset val="128"/>
      </rPr>
      <t>関数方式と比較して、行数が多いほど再計算時間に大きな差が出ます。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</si>
</sst>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3377-E4FD-4606-9D8A-D93934F9CA83}">
  <dimension ref="A1:B216"/>
  <sheetViews>
    <sheetView tabSelected="1" workbookViewId="0">
      <selection activeCell="A7" sqref="A7:A216"/>
    </sheetView>
  </sheetViews>
  <sheetFormatPr defaultRowHeight="17.649999999999999"/>
  <sheetData>
    <row r="1" spans="1:2">
      <c r="B1" t="s">
        <v>0</v>
      </c>
    </row>
    <row r="2" spans="1:2">
      <c r="B2" t="s">
        <v>1</v>
      </c>
    </row>
    <row r="3" spans="1:2">
      <c r="B3" t="s">
        <v>0</v>
      </c>
    </row>
    <row r="4" spans="1:2">
      <c r="B4" t="s">
        <v>18</v>
      </c>
    </row>
    <row r="5" spans="1:2">
      <c r="B5" t="s">
        <v>2</v>
      </c>
    </row>
    <row r="6" spans="1:2">
      <c r="B6" t="s">
        <v>3</v>
      </c>
    </row>
    <row r="7" spans="1:2">
      <c r="A7" s="3">
        <f>IF(MIDB(B7,11,1)="-",ROW(B7),"")</f>
        <v>7</v>
      </c>
      <c r="B7" t="s">
        <v>19</v>
      </c>
    </row>
    <row r="8" spans="1:2">
      <c r="A8" s="3">
        <f t="shared" ref="A8:A71" si="0">IF(MIDB(B8,11,1)="-",ROW(B8),"")</f>
        <v>8</v>
      </c>
      <c r="B8" t="s">
        <v>20</v>
      </c>
    </row>
    <row r="9" spans="1:2">
      <c r="A9" s="3">
        <f t="shared" si="0"/>
        <v>9</v>
      </c>
      <c r="B9" t="s">
        <v>21</v>
      </c>
    </row>
    <row r="10" spans="1:2">
      <c r="A10" s="3">
        <f t="shared" si="0"/>
        <v>10</v>
      </c>
      <c r="B10" t="s">
        <v>22</v>
      </c>
    </row>
    <row r="11" spans="1:2">
      <c r="A11" s="3">
        <f t="shared" si="0"/>
        <v>11</v>
      </c>
      <c r="B11" t="s">
        <v>23</v>
      </c>
    </row>
    <row r="12" spans="1:2">
      <c r="A12" s="3">
        <f t="shared" si="0"/>
        <v>12</v>
      </c>
      <c r="B12" t="s">
        <v>24</v>
      </c>
    </row>
    <row r="13" spans="1:2">
      <c r="A13" s="3">
        <f t="shared" si="0"/>
        <v>13</v>
      </c>
      <c r="B13" t="s">
        <v>25</v>
      </c>
    </row>
    <row r="14" spans="1:2">
      <c r="A14" s="3">
        <f t="shared" si="0"/>
        <v>14</v>
      </c>
      <c r="B14" t="s">
        <v>26</v>
      </c>
    </row>
    <row r="15" spans="1:2">
      <c r="A15" s="3">
        <f t="shared" si="0"/>
        <v>15</v>
      </c>
      <c r="B15" t="s">
        <v>27</v>
      </c>
    </row>
    <row r="16" spans="1:2">
      <c r="A16" s="3">
        <f t="shared" si="0"/>
        <v>16</v>
      </c>
      <c r="B16" t="s">
        <v>28</v>
      </c>
    </row>
    <row r="17" spans="1:2">
      <c r="A17" s="3">
        <f t="shared" si="0"/>
        <v>17</v>
      </c>
      <c r="B17" t="s">
        <v>29</v>
      </c>
    </row>
    <row r="18" spans="1:2">
      <c r="A18" s="3">
        <f t="shared" si="0"/>
        <v>18</v>
      </c>
      <c r="B18" t="s">
        <v>30</v>
      </c>
    </row>
    <row r="19" spans="1:2">
      <c r="A19" s="3">
        <f t="shared" si="0"/>
        <v>19</v>
      </c>
      <c r="B19" t="s">
        <v>31</v>
      </c>
    </row>
    <row r="20" spans="1:2">
      <c r="A20" s="3">
        <f t="shared" si="0"/>
        <v>20</v>
      </c>
      <c r="B20" t="s">
        <v>32</v>
      </c>
    </row>
    <row r="21" spans="1:2">
      <c r="A21" s="3" t="str">
        <f t="shared" si="0"/>
        <v/>
      </c>
      <c r="B21" t="s">
        <v>2</v>
      </c>
    </row>
    <row r="22" spans="1:2">
      <c r="A22" s="3" t="str">
        <f t="shared" si="0"/>
        <v/>
      </c>
      <c r="B22" t="s">
        <v>4</v>
      </c>
    </row>
    <row r="23" spans="1:2">
      <c r="A23" s="3" t="str">
        <f t="shared" si="0"/>
        <v/>
      </c>
    </row>
    <row r="24" spans="1:2">
      <c r="A24" s="3" t="str">
        <f t="shared" si="0"/>
        <v/>
      </c>
      <c r="B24" t="s">
        <v>0</v>
      </c>
    </row>
    <row r="25" spans="1:2">
      <c r="A25" s="3" t="str">
        <f t="shared" si="0"/>
        <v/>
      </c>
      <c r="B25" t="s">
        <v>5</v>
      </c>
    </row>
    <row r="26" spans="1:2">
      <c r="A26" s="3" t="str">
        <f t="shared" si="0"/>
        <v/>
      </c>
      <c r="B26" t="s">
        <v>0</v>
      </c>
    </row>
    <row r="27" spans="1:2">
      <c r="A27" s="3" t="str">
        <f t="shared" si="0"/>
        <v/>
      </c>
      <c r="B27" t="s">
        <v>18</v>
      </c>
    </row>
    <row r="28" spans="1:2">
      <c r="A28" s="3" t="str">
        <f t="shared" si="0"/>
        <v/>
      </c>
      <c r="B28" t="s">
        <v>2</v>
      </c>
    </row>
    <row r="29" spans="1:2">
      <c r="A29" s="3" t="str">
        <f t="shared" si="0"/>
        <v/>
      </c>
      <c r="B29" t="s">
        <v>6</v>
      </c>
    </row>
    <row r="30" spans="1:2">
      <c r="A30" s="3">
        <f t="shared" si="0"/>
        <v>30</v>
      </c>
      <c r="B30" t="s">
        <v>33</v>
      </c>
    </row>
    <row r="31" spans="1:2">
      <c r="A31" s="3">
        <f t="shared" si="0"/>
        <v>31</v>
      </c>
      <c r="B31" t="s">
        <v>34</v>
      </c>
    </row>
    <row r="32" spans="1:2">
      <c r="A32" s="3">
        <f t="shared" si="0"/>
        <v>32</v>
      </c>
      <c r="B32" t="s">
        <v>35</v>
      </c>
    </row>
    <row r="33" spans="1:2">
      <c r="A33" s="3">
        <f t="shared" si="0"/>
        <v>33</v>
      </c>
      <c r="B33" t="s">
        <v>36</v>
      </c>
    </row>
    <row r="34" spans="1:2">
      <c r="A34" s="3">
        <f t="shared" si="0"/>
        <v>34</v>
      </c>
      <c r="B34" t="s">
        <v>37</v>
      </c>
    </row>
    <row r="35" spans="1:2">
      <c r="A35" s="3">
        <f t="shared" si="0"/>
        <v>35</v>
      </c>
      <c r="B35" t="s">
        <v>38</v>
      </c>
    </row>
    <row r="36" spans="1:2">
      <c r="A36" s="3">
        <f t="shared" si="0"/>
        <v>36</v>
      </c>
      <c r="B36" t="s">
        <v>39</v>
      </c>
    </row>
    <row r="37" spans="1:2">
      <c r="A37" s="3">
        <f t="shared" si="0"/>
        <v>37</v>
      </c>
      <c r="B37" t="s">
        <v>40</v>
      </c>
    </row>
    <row r="38" spans="1:2">
      <c r="A38" s="3">
        <f t="shared" si="0"/>
        <v>38</v>
      </c>
      <c r="B38" t="s">
        <v>41</v>
      </c>
    </row>
    <row r="39" spans="1:2">
      <c r="A39" s="3">
        <f t="shared" si="0"/>
        <v>39</v>
      </c>
      <c r="B39" t="s">
        <v>42</v>
      </c>
    </row>
    <row r="40" spans="1:2">
      <c r="A40" s="3">
        <f t="shared" si="0"/>
        <v>40</v>
      </c>
      <c r="B40" t="s">
        <v>43</v>
      </c>
    </row>
    <row r="41" spans="1:2">
      <c r="A41" s="3">
        <f t="shared" si="0"/>
        <v>41</v>
      </c>
      <c r="B41" t="s">
        <v>44</v>
      </c>
    </row>
    <row r="42" spans="1:2">
      <c r="A42" s="3">
        <f t="shared" si="0"/>
        <v>42</v>
      </c>
      <c r="B42" t="s">
        <v>45</v>
      </c>
    </row>
    <row r="43" spans="1:2">
      <c r="A43" s="3" t="str">
        <f t="shared" si="0"/>
        <v/>
      </c>
      <c r="B43" t="s">
        <v>2</v>
      </c>
    </row>
    <row r="44" spans="1:2">
      <c r="A44" s="3" t="str">
        <f t="shared" si="0"/>
        <v/>
      </c>
      <c r="B44" t="s">
        <v>7</v>
      </c>
    </row>
    <row r="45" spans="1:2">
      <c r="A45" s="3" t="str">
        <f t="shared" si="0"/>
        <v/>
      </c>
    </row>
    <row r="46" spans="1:2">
      <c r="A46" s="3" t="str">
        <f t="shared" si="0"/>
        <v/>
      </c>
      <c r="B46" t="s">
        <v>0</v>
      </c>
    </row>
    <row r="47" spans="1:2">
      <c r="A47" s="3" t="str">
        <f t="shared" si="0"/>
        <v/>
      </c>
      <c r="B47" t="s">
        <v>8</v>
      </c>
    </row>
    <row r="48" spans="1:2">
      <c r="A48" s="3" t="str">
        <f t="shared" si="0"/>
        <v/>
      </c>
      <c r="B48" t="s">
        <v>0</v>
      </c>
    </row>
    <row r="49" spans="1:2">
      <c r="A49" s="3" t="str">
        <f t="shared" si="0"/>
        <v/>
      </c>
      <c r="B49" t="s">
        <v>18</v>
      </c>
    </row>
    <row r="50" spans="1:2">
      <c r="A50" s="3" t="str">
        <f t="shared" si="0"/>
        <v/>
      </c>
      <c r="B50" t="s">
        <v>2</v>
      </c>
    </row>
    <row r="51" spans="1:2">
      <c r="A51" s="3" t="str">
        <f t="shared" si="0"/>
        <v/>
      </c>
      <c r="B51" t="s">
        <v>9</v>
      </c>
    </row>
    <row r="52" spans="1:2">
      <c r="A52" s="3">
        <f t="shared" si="0"/>
        <v>52</v>
      </c>
      <c r="B52" t="s">
        <v>46</v>
      </c>
    </row>
    <row r="53" spans="1:2">
      <c r="A53" s="3">
        <f t="shared" si="0"/>
        <v>53</v>
      </c>
      <c r="B53" t="s">
        <v>47</v>
      </c>
    </row>
    <row r="54" spans="1:2">
      <c r="A54" s="3">
        <f t="shared" si="0"/>
        <v>54</v>
      </c>
      <c r="B54" t="s">
        <v>48</v>
      </c>
    </row>
    <row r="55" spans="1:2">
      <c r="A55" s="3">
        <f t="shared" si="0"/>
        <v>55</v>
      </c>
      <c r="B55" t="s">
        <v>49</v>
      </c>
    </row>
    <row r="56" spans="1:2">
      <c r="A56" s="3">
        <f t="shared" si="0"/>
        <v>56</v>
      </c>
      <c r="B56" t="s">
        <v>50</v>
      </c>
    </row>
    <row r="57" spans="1:2">
      <c r="A57" s="3">
        <f t="shared" si="0"/>
        <v>57</v>
      </c>
      <c r="B57" t="s">
        <v>51</v>
      </c>
    </row>
    <row r="58" spans="1:2">
      <c r="A58" s="3">
        <f t="shared" si="0"/>
        <v>58</v>
      </c>
      <c r="B58" t="s">
        <v>52</v>
      </c>
    </row>
    <row r="59" spans="1:2">
      <c r="A59" s="3">
        <f t="shared" si="0"/>
        <v>59</v>
      </c>
      <c r="B59" t="s">
        <v>53</v>
      </c>
    </row>
    <row r="60" spans="1:2">
      <c r="A60" s="3">
        <f t="shared" si="0"/>
        <v>60</v>
      </c>
      <c r="B60" t="s">
        <v>54</v>
      </c>
    </row>
    <row r="61" spans="1:2">
      <c r="A61" s="3">
        <f t="shared" si="0"/>
        <v>61</v>
      </c>
      <c r="B61" t="s">
        <v>55</v>
      </c>
    </row>
    <row r="62" spans="1:2">
      <c r="A62" s="3">
        <f t="shared" si="0"/>
        <v>62</v>
      </c>
      <c r="B62" t="s">
        <v>56</v>
      </c>
    </row>
    <row r="63" spans="1:2">
      <c r="A63" s="3" t="str">
        <f t="shared" si="0"/>
        <v/>
      </c>
      <c r="B63" t="s">
        <v>2</v>
      </c>
    </row>
    <row r="64" spans="1:2">
      <c r="A64" s="3" t="str">
        <f t="shared" si="0"/>
        <v/>
      </c>
      <c r="B64" t="s">
        <v>10</v>
      </c>
    </row>
    <row r="65" spans="1:2">
      <c r="A65" s="3" t="str">
        <f t="shared" si="0"/>
        <v/>
      </c>
    </row>
    <row r="66" spans="1:2">
      <c r="A66" s="3" t="str">
        <f t="shared" si="0"/>
        <v/>
      </c>
      <c r="B66" t="s">
        <v>0</v>
      </c>
    </row>
    <row r="67" spans="1:2">
      <c r="A67" s="3" t="str">
        <f t="shared" si="0"/>
        <v/>
      </c>
      <c r="B67" t="s">
        <v>11</v>
      </c>
    </row>
    <row r="68" spans="1:2">
      <c r="A68" s="3" t="str">
        <f t="shared" si="0"/>
        <v/>
      </c>
      <c r="B68" t="s">
        <v>0</v>
      </c>
    </row>
    <row r="69" spans="1:2">
      <c r="A69" s="3" t="str">
        <f t="shared" si="0"/>
        <v/>
      </c>
      <c r="B69" t="s">
        <v>18</v>
      </c>
    </row>
    <row r="70" spans="1:2">
      <c r="A70" s="3" t="str">
        <f t="shared" si="0"/>
        <v/>
      </c>
      <c r="B70" t="s">
        <v>2</v>
      </c>
    </row>
    <row r="71" spans="1:2">
      <c r="A71" s="3" t="str">
        <f t="shared" si="0"/>
        <v/>
      </c>
      <c r="B71" t="s">
        <v>12</v>
      </c>
    </row>
    <row r="72" spans="1:2">
      <c r="A72" s="3">
        <f t="shared" ref="A72:A135" si="1">IF(MIDB(B72,11,1)="-",ROW(B72),"")</f>
        <v>72</v>
      </c>
      <c r="B72" t="s">
        <v>57</v>
      </c>
    </row>
    <row r="73" spans="1:2">
      <c r="A73" s="3">
        <f t="shared" si="1"/>
        <v>73</v>
      </c>
      <c r="B73" t="s">
        <v>58</v>
      </c>
    </row>
    <row r="74" spans="1:2">
      <c r="A74" s="3">
        <f t="shared" si="1"/>
        <v>74</v>
      </c>
      <c r="B74" t="s">
        <v>59</v>
      </c>
    </row>
    <row r="75" spans="1:2">
      <c r="A75" s="3">
        <f t="shared" si="1"/>
        <v>75</v>
      </c>
      <c r="B75" t="s">
        <v>60</v>
      </c>
    </row>
    <row r="76" spans="1:2">
      <c r="A76" s="3">
        <f t="shared" si="1"/>
        <v>76</v>
      </c>
      <c r="B76" t="s">
        <v>61</v>
      </c>
    </row>
    <row r="77" spans="1:2">
      <c r="A77" s="3">
        <f t="shared" si="1"/>
        <v>77</v>
      </c>
      <c r="B77" t="s">
        <v>62</v>
      </c>
    </row>
    <row r="78" spans="1:2">
      <c r="A78" s="3">
        <f t="shared" si="1"/>
        <v>78</v>
      </c>
      <c r="B78" t="s">
        <v>63</v>
      </c>
    </row>
    <row r="79" spans="1:2">
      <c r="A79" s="3">
        <f t="shared" si="1"/>
        <v>79</v>
      </c>
      <c r="B79" t="s">
        <v>64</v>
      </c>
    </row>
    <row r="80" spans="1:2">
      <c r="A80" s="3">
        <f t="shared" si="1"/>
        <v>80</v>
      </c>
      <c r="B80" t="s">
        <v>65</v>
      </c>
    </row>
    <row r="81" spans="1:2">
      <c r="A81" s="3">
        <f t="shared" si="1"/>
        <v>81</v>
      </c>
      <c r="B81" t="s">
        <v>66</v>
      </c>
    </row>
    <row r="82" spans="1:2">
      <c r="A82" s="3">
        <f t="shared" si="1"/>
        <v>82</v>
      </c>
      <c r="B82" t="s">
        <v>67</v>
      </c>
    </row>
    <row r="83" spans="1:2">
      <c r="A83" s="3">
        <f t="shared" si="1"/>
        <v>83</v>
      </c>
      <c r="B83" t="s">
        <v>68</v>
      </c>
    </row>
    <row r="84" spans="1:2">
      <c r="A84" s="3">
        <f t="shared" si="1"/>
        <v>84</v>
      </c>
      <c r="B84" t="s">
        <v>69</v>
      </c>
    </row>
    <row r="85" spans="1:2">
      <c r="A85" s="3">
        <f t="shared" si="1"/>
        <v>85</v>
      </c>
      <c r="B85" t="s">
        <v>70</v>
      </c>
    </row>
    <row r="86" spans="1:2">
      <c r="A86" s="3">
        <f t="shared" si="1"/>
        <v>86</v>
      </c>
      <c r="B86" t="s">
        <v>71</v>
      </c>
    </row>
    <row r="87" spans="1:2">
      <c r="A87" s="3">
        <f t="shared" si="1"/>
        <v>87</v>
      </c>
      <c r="B87" t="s">
        <v>72</v>
      </c>
    </row>
    <row r="88" spans="1:2">
      <c r="A88" s="3">
        <f t="shared" si="1"/>
        <v>88</v>
      </c>
      <c r="B88" t="s">
        <v>73</v>
      </c>
    </row>
    <row r="89" spans="1:2">
      <c r="A89" s="3" t="str">
        <f t="shared" si="1"/>
        <v/>
      </c>
      <c r="B89" t="s">
        <v>2</v>
      </c>
    </row>
    <row r="90" spans="1:2">
      <c r="A90" s="3" t="str">
        <f t="shared" si="1"/>
        <v/>
      </c>
      <c r="B90" t="s">
        <v>13</v>
      </c>
    </row>
    <row r="91" spans="1:2">
      <c r="A91" s="3" t="str">
        <f t="shared" si="1"/>
        <v/>
      </c>
    </row>
    <row r="92" spans="1:2">
      <c r="A92" s="3" t="str">
        <f t="shared" si="1"/>
        <v/>
      </c>
      <c r="B92" t="s">
        <v>0</v>
      </c>
    </row>
    <row r="93" spans="1:2">
      <c r="A93" s="3" t="str">
        <f t="shared" si="1"/>
        <v/>
      </c>
      <c r="B93" t="s">
        <v>14</v>
      </c>
    </row>
    <row r="94" spans="1:2">
      <c r="A94" s="3" t="str">
        <f t="shared" si="1"/>
        <v/>
      </c>
      <c r="B94" t="s">
        <v>0</v>
      </c>
    </row>
    <row r="95" spans="1:2">
      <c r="A95" s="3" t="str">
        <f t="shared" si="1"/>
        <v/>
      </c>
      <c r="B95" t="s">
        <v>18</v>
      </c>
    </row>
    <row r="96" spans="1:2">
      <c r="A96" s="3" t="str">
        <f t="shared" si="1"/>
        <v/>
      </c>
      <c r="B96" t="s">
        <v>2</v>
      </c>
    </row>
    <row r="97" spans="1:2">
      <c r="A97" s="3" t="str">
        <f t="shared" si="1"/>
        <v/>
      </c>
      <c r="B97" t="s">
        <v>15</v>
      </c>
    </row>
    <row r="98" spans="1:2">
      <c r="A98" s="3">
        <f t="shared" si="1"/>
        <v>98</v>
      </c>
      <c r="B98" t="s">
        <v>74</v>
      </c>
    </row>
    <row r="99" spans="1:2">
      <c r="A99" s="3">
        <f t="shared" si="1"/>
        <v>99</v>
      </c>
      <c r="B99" t="s">
        <v>75</v>
      </c>
    </row>
    <row r="100" spans="1:2">
      <c r="A100" s="3">
        <f t="shared" si="1"/>
        <v>100</v>
      </c>
      <c r="B100" t="s">
        <v>76</v>
      </c>
    </row>
    <row r="101" spans="1:2">
      <c r="A101" s="3">
        <f t="shared" si="1"/>
        <v>101</v>
      </c>
      <c r="B101" t="s">
        <v>77</v>
      </c>
    </row>
    <row r="102" spans="1:2">
      <c r="A102" s="3">
        <f t="shared" si="1"/>
        <v>102</v>
      </c>
      <c r="B102" t="s">
        <v>78</v>
      </c>
    </row>
    <row r="103" spans="1:2">
      <c r="A103" s="3">
        <f t="shared" si="1"/>
        <v>103</v>
      </c>
      <c r="B103" t="s">
        <v>79</v>
      </c>
    </row>
    <row r="104" spans="1:2">
      <c r="A104" s="3">
        <f t="shared" si="1"/>
        <v>104</v>
      </c>
      <c r="B104" t="s">
        <v>80</v>
      </c>
    </row>
    <row r="105" spans="1:2">
      <c r="A105" s="3">
        <f t="shared" si="1"/>
        <v>105</v>
      </c>
      <c r="B105" t="s">
        <v>81</v>
      </c>
    </row>
    <row r="106" spans="1:2">
      <c r="A106" s="3">
        <f t="shared" si="1"/>
        <v>106</v>
      </c>
      <c r="B106" t="s">
        <v>82</v>
      </c>
    </row>
    <row r="107" spans="1:2">
      <c r="A107" s="3">
        <f t="shared" si="1"/>
        <v>107</v>
      </c>
      <c r="B107" t="s">
        <v>83</v>
      </c>
    </row>
    <row r="108" spans="1:2">
      <c r="A108" s="3">
        <f t="shared" si="1"/>
        <v>108</v>
      </c>
      <c r="B108" t="s">
        <v>84</v>
      </c>
    </row>
    <row r="109" spans="1:2">
      <c r="A109" s="3">
        <f t="shared" si="1"/>
        <v>109</v>
      </c>
      <c r="B109" t="s">
        <v>85</v>
      </c>
    </row>
    <row r="110" spans="1:2">
      <c r="A110" s="3">
        <f t="shared" si="1"/>
        <v>110</v>
      </c>
      <c r="B110" t="s">
        <v>86</v>
      </c>
    </row>
    <row r="111" spans="1:2">
      <c r="A111" s="3">
        <f t="shared" si="1"/>
        <v>111</v>
      </c>
      <c r="B111" t="s">
        <v>87</v>
      </c>
    </row>
    <row r="112" spans="1:2">
      <c r="A112" s="3">
        <f t="shared" si="1"/>
        <v>112</v>
      </c>
      <c r="B112" t="s">
        <v>88</v>
      </c>
    </row>
    <row r="113" spans="1:2">
      <c r="A113" s="3" t="str">
        <f t="shared" si="1"/>
        <v/>
      </c>
      <c r="B113" t="s">
        <v>2</v>
      </c>
    </row>
    <row r="114" spans="1:2">
      <c r="A114" s="3" t="str">
        <f t="shared" si="1"/>
        <v/>
      </c>
      <c r="B114" t="s">
        <v>16</v>
      </c>
    </row>
    <row r="115" spans="1:2">
      <c r="A115" s="3" t="str">
        <f t="shared" si="1"/>
        <v/>
      </c>
    </row>
    <row r="116" spans="1:2">
      <c r="A116" s="3" t="str">
        <f t="shared" si="1"/>
        <v/>
      </c>
      <c r="B116" t="s">
        <v>0</v>
      </c>
    </row>
    <row r="117" spans="1:2">
      <c r="A117" s="3" t="str">
        <f t="shared" si="1"/>
        <v/>
      </c>
      <c r="B117" t="s">
        <v>17</v>
      </c>
    </row>
    <row r="118" spans="1:2">
      <c r="A118" s="3" t="str">
        <f t="shared" si="1"/>
        <v/>
      </c>
      <c r="B118" t="s">
        <v>0</v>
      </c>
    </row>
    <row r="119" spans="1:2">
      <c r="A119" s="3" t="str">
        <f t="shared" si="1"/>
        <v/>
      </c>
    </row>
    <row r="120" spans="1:2">
      <c r="A120" s="3" t="str">
        <f t="shared" si="1"/>
        <v/>
      </c>
    </row>
    <row r="121" spans="1:2">
      <c r="A121" s="3" t="str">
        <f t="shared" si="1"/>
        <v/>
      </c>
    </row>
    <row r="122" spans="1:2">
      <c r="A122" s="3" t="str">
        <f t="shared" si="1"/>
        <v/>
      </c>
    </row>
    <row r="123" spans="1:2">
      <c r="A123" s="3" t="str">
        <f t="shared" si="1"/>
        <v/>
      </c>
    </row>
    <row r="124" spans="1:2">
      <c r="A124" s="3" t="str">
        <f t="shared" si="1"/>
        <v/>
      </c>
    </row>
    <row r="125" spans="1:2">
      <c r="A125" s="3" t="str">
        <f t="shared" si="1"/>
        <v/>
      </c>
    </row>
    <row r="126" spans="1:2">
      <c r="A126" s="3" t="str">
        <f t="shared" si="1"/>
        <v/>
      </c>
    </row>
    <row r="127" spans="1:2">
      <c r="A127" s="3" t="str">
        <f t="shared" si="1"/>
        <v/>
      </c>
    </row>
    <row r="128" spans="1:2">
      <c r="A128" s="3" t="str">
        <f t="shared" si="1"/>
        <v/>
      </c>
    </row>
    <row r="129" spans="1:1">
      <c r="A129" s="3" t="str">
        <f t="shared" si="1"/>
        <v/>
      </c>
    </row>
    <row r="130" spans="1:1">
      <c r="A130" s="3" t="str">
        <f t="shared" si="1"/>
        <v/>
      </c>
    </row>
    <row r="131" spans="1:1">
      <c r="A131" s="3" t="str">
        <f t="shared" si="1"/>
        <v/>
      </c>
    </row>
    <row r="132" spans="1:1">
      <c r="A132" s="3" t="str">
        <f t="shared" si="1"/>
        <v/>
      </c>
    </row>
    <row r="133" spans="1:1">
      <c r="A133" s="3" t="str">
        <f t="shared" si="1"/>
        <v/>
      </c>
    </row>
    <row r="134" spans="1:1">
      <c r="A134" s="3" t="str">
        <f t="shared" si="1"/>
        <v/>
      </c>
    </row>
    <row r="135" spans="1:1">
      <c r="A135" s="3" t="str">
        <f t="shared" si="1"/>
        <v/>
      </c>
    </row>
    <row r="136" spans="1:1">
      <c r="A136" s="3" t="str">
        <f t="shared" ref="A136:A199" si="2">IF(MIDB(B136,11,1)="-",ROW(B136),"")</f>
        <v/>
      </c>
    </row>
    <row r="137" spans="1:1">
      <c r="A137" s="3" t="str">
        <f t="shared" si="2"/>
        <v/>
      </c>
    </row>
    <row r="138" spans="1:1">
      <c r="A138" s="3" t="str">
        <f t="shared" si="2"/>
        <v/>
      </c>
    </row>
    <row r="139" spans="1:1">
      <c r="A139" s="3" t="str">
        <f t="shared" si="2"/>
        <v/>
      </c>
    </row>
    <row r="140" spans="1:1">
      <c r="A140" s="3" t="str">
        <f t="shared" si="2"/>
        <v/>
      </c>
    </row>
    <row r="141" spans="1:1">
      <c r="A141" s="3" t="str">
        <f t="shared" si="2"/>
        <v/>
      </c>
    </row>
    <row r="142" spans="1:1">
      <c r="A142" s="3" t="str">
        <f t="shared" si="2"/>
        <v/>
      </c>
    </row>
    <row r="143" spans="1:1">
      <c r="A143" s="3" t="str">
        <f t="shared" si="2"/>
        <v/>
      </c>
    </row>
    <row r="144" spans="1:1">
      <c r="A144" s="3" t="str">
        <f t="shared" si="2"/>
        <v/>
      </c>
    </row>
    <row r="145" spans="1:1">
      <c r="A145" s="3" t="str">
        <f t="shared" si="2"/>
        <v/>
      </c>
    </row>
    <row r="146" spans="1:1">
      <c r="A146" s="3" t="str">
        <f t="shared" si="2"/>
        <v/>
      </c>
    </row>
    <row r="147" spans="1:1">
      <c r="A147" s="3" t="str">
        <f t="shared" si="2"/>
        <v/>
      </c>
    </row>
    <row r="148" spans="1:1">
      <c r="A148" s="3" t="str">
        <f t="shared" si="2"/>
        <v/>
      </c>
    </row>
    <row r="149" spans="1:1">
      <c r="A149" s="3" t="str">
        <f t="shared" si="2"/>
        <v/>
      </c>
    </row>
    <row r="150" spans="1:1">
      <c r="A150" s="3" t="str">
        <f t="shared" si="2"/>
        <v/>
      </c>
    </row>
    <row r="151" spans="1:1">
      <c r="A151" s="3" t="str">
        <f t="shared" si="2"/>
        <v/>
      </c>
    </row>
    <row r="152" spans="1:1">
      <c r="A152" s="3" t="str">
        <f t="shared" si="2"/>
        <v/>
      </c>
    </row>
    <row r="153" spans="1:1">
      <c r="A153" s="3" t="str">
        <f t="shared" si="2"/>
        <v/>
      </c>
    </row>
    <row r="154" spans="1:1">
      <c r="A154" s="3" t="str">
        <f t="shared" si="2"/>
        <v/>
      </c>
    </row>
    <row r="155" spans="1:1">
      <c r="A155" s="3" t="str">
        <f t="shared" si="2"/>
        <v/>
      </c>
    </row>
    <row r="156" spans="1:1">
      <c r="A156" s="3" t="str">
        <f t="shared" si="2"/>
        <v/>
      </c>
    </row>
    <row r="157" spans="1:1">
      <c r="A157" s="3" t="str">
        <f t="shared" si="2"/>
        <v/>
      </c>
    </row>
    <row r="158" spans="1:1">
      <c r="A158" s="3" t="str">
        <f t="shared" si="2"/>
        <v/>
      </c>
    </row>
    <row r="159" spans="1:1">
      <c r="A159" s="3" t="str">
        <f t="shared" si="2"/>
        <v/>
      </c>
    </row>
    <row r="160" spans="1:1">
      <c r="A160" s="3" t="str">
        <f t="shared" si="2"/>
        <v/>
      </c>
    </row>
    <row r="161" spans="1:1">
      <c r="A161" s="3" t="str">
        <f t="shared" si="2"/>
        <v/>
      </c>
    </row>
    <row r="162" spans="1:1">
      <c r="A162" s="3" t="str">
        <f t="shared" si="2"/>
        <v/>
      </c>
    </row>
    <row r="163" spans="1:1">
      <c r="A163" s="3" t="str">
        <f t="shared" si="2"/>
        <v/>
      </c>
    </row>
    <row r="164" spans="1:1">
      <c r="A164" s="3" t="str">
        <f t="shared" si="2"/>
        <v/>
      </c>
    </row>
    <row r="165" spans="1:1">
      <c r="A165" s="3" t="str">
        <f t="shared" si="2"/>
        <v/>
      </c>
    </row>
    <row r="166" spans="1:1">
      <c r="A166" s="3" t="str">
        <f t="shared" si="2"/>
        <v/>
      </c>
    </row>
    <row r="167" spans="1:1">
      <c r="A167" s="3" t="str">
        <f t="shared" si="2"/>
        <v/>
      </c>
    </row>
    <row r="168" spans="1:1">
      <c r="A168" s="3" t="str">
        <f t="shared" si="2"/>
        <v/>
      </c>
    </row>
    <row r="169" spans="1:1">
      <c r="A169" s="3" t="str">
        <f t="shared" si="2"/>
        <v/>
      </c>
    </row>
    <row r="170" spans="1:1">
      <c r="A170" s="3" t="str">
        <f t="shared" si="2"/>
        <v/>
      </c>
    </row>
    <row r="171" spans="1:1">
      <c r="A171" s="3" t="str">
        <f t="shared" si="2"/>
        <v/>
      </c>
    </row>
    <row r="172" spans="1:1">
      <c r="A172" s="3" t="str">
        <f t="shared" si="2"/>
        <v/>
      </c>
    </row>
    <row r="173" spans="1:1">
      <c r="A173" s="3" t="str">
        <f t="shared" si="2"/>
        <v/>
      </c>
    </row>
    <row r="174" spans="1:1">
      <c r="A174" s="3" t="str">
        <f t="shared" si="2"/>
        <v/>
      </c>
    </row>
    <row r="175" spans="1:1">
      <c r="A175" s="3" t="str">
        <f t="shared" si="2"/>
        <v/>
      </c>
    </row>
    <row r="176" spans="1:1">
      <c r="A176" s="3" t="str">
        <f t="shared" si="2"/>
        <v/>
      </c>
    </row>
    <row r="177" spans="1:1">
      <c r="A177" s="3" t="str">
        <f t="shared" si="2"/>
        <v/>
      </c>
    </row>
    <row r="178" spans="1:1">
      <c r="A178" s="3" t="str">
        <f t="shared" si="2"/>
        <v/>
      </c>
    </row>
    <row r="179" spans="1:1">
      <c r="A179" s="3" t="str">
        <f t="shared" si="2"/>
        <v/>
      </c>
    </row>
    <row r="180" spans="1:1">
      <c r="A180" s="3" t="str">
        <f t="shared" si="2"/>
        <v/>
      </c>
    </row>
    <row r="181" spans="1:1">
      <c r="A181" s="3" t="str">
        <f t="shared" si="2"/>
        <v/>
      </c>
    </row>
    <row r="182" spans="1:1">
      <c r="A182" s="3" t="str">
        <f t="shared" si="2"/>
        <v/>
      </c>
    </row>
    <row r="183" spans="1:1">
      <c r="A183" s="3" t="str">
        <f t="shared" si="2"/>
        <v/>
      </c>
    </row>
    <row r="184" spans="1:1">
      <c r="A184" s="3" t="str">
        <f t="shared" si="2"/>
        <v/>
      </c>
    </row>
    <row r="185" spans="1:1">
      <c r="A185" s="3" t="str">
        <f t="shared" si="2"/>
        <v/>
      </c>
    </row>
    <row r="186" spans="1:1">
      <c r="A186" s="3" t="str">
        <f t="shared" si="2"/>
        <v/>
      </c>
    </row>
    <row r="187" spans="1:1">
      <c r="A187" s="3" t="str">
        <f t="shared" si="2"/>
        <v/>
      </c>
    </row>
    <row r="188" spans="1:1">
      <c r="A188" s="3" t="str">
        <f t="shared" si="2"/>
        <v/>
      </c>
    </row>
    <row r="189" spans="1:1">
      <c r="A189" s="3" t="str">
        <f t="shared" si="2"/>
        <v/>
      </c>
    </row>
    <row r="190" spans="1:1">
      <c r="A190" s="3" t="str">
        <f t="shared" si="2"/>
        <v/>
      </c>
    </row>
    <row r="191" spans="1:1">
      <c r="A191" s="3" t="str">
        <f t="shared" si="2"/>
        <v/>
      </c>
    </row>
    <row r="192" spans="1:1">
      <c r="A192" s="3" t="str">
        <f t="shared" si="2"/>
        <v/>
      </c>
    </row>
    <row r="193" spans="1:1">
      <c r="A193" s="3" t="str">
        <f t="shared" si="2"/>
        <v/>
      </c>
    </row>
    <row r="194" spans="1:1">
      <c r="A194" s="3" t="str">
        <f t="shared" si="2"/>
        <v/>
      </c>
    </row>
    <row r="195" spans="1:1">
      <c r="A195" s="3" t="str">
        <f t="shared" si="2"/>
        <v/>
      </c>
    </row>
    <row r="196" spans="1:1">
      <c r="A196" s="3" t="str">
        <f t="shared" si="2"/>
        <v/>
      </c>
    </row>
    <row r="197" spans="1:1">
      <c r="A197" s="3" t="str">
        <f t="shared" si="2"/>
        <v/>
      </c>
    </row>
    <row r="198" spans="1:1">
      <c r="A198" s="3" t="str">
        <f t="shared" si="2"/>
        <v/>
      </c>
    </row>
    <row r="199" spans="1:1">
      <c r="A199" s="3" t="str">
        <f t="shared" si="2"/>
        <v/>
      </c>
    </row>
    <row r="200" spans="1:1">
      <c r="A200" s="3" t="str">
        <f t="shared" ref="A200:A216" si="3">IF(MIDB(B200,11,1)="-",ROW(B200),"")</f>
        <v/>
      </c>
    </row>
    <row r="201" spans="1:1">
      <c r="A201" s="3" t="str">
        <f t="shared" si="3"/>
        <v/>
      </c>
    </row>
    <row r="202" spans="1:1">
      <c r="A202" s="3" t="str">
        <f t="shared" si="3"/>
        <v/>
      </c>
    </row>
    <row r="203" spans="1:1">
      <c r="A203" s="3" t="str">
        <f t="shared" si="3"/>
        <v/>
      </c>
    </row>
    <row r="204" spans="1:1">
      <c r="A204" s="3" t="str">
        <f t="shared" si="3"/>
        <v/>
      </c>
    </row>
    <row r="205" spans="1:1">
      <c r="A205" s="3" t="str">
        <f t="shared" si="3"/>
        <v/>
      </c>
    </row>
    <row r="206" spans="1:1">
      <c r="A206" s="3" t="str">
        <f t="shared" si="3"/>
        <v/>
      </c>
    </row>
    <row r="207" spans="1:1">
      <c r="A207" s="3" t="str">
        <f t="shared" si="3"/>
        <v/>
      </c>
    </row>
    <row r="208" spans="1:1">
      <c r="A208" s="3" t="str">
        <f t="shared" si="3"/>
        <v/>
      </c>
    </row>
    <row r="209" spans="1:1">
      <c r="A209" s="3" t="str">
        <f t="shared" si="3"/>
        <v/>
      </c>
    </row>
    <row r="210" spans="1:1">
      <c r="A210" s="3" t="str">
        <f t="shared" si="3"/>
        <v/>
      </c>
    </row>
    <row r="211" spans="1:1">
      <c r="A211" s="3" t="str">
        <f t="shared" si="3"/>
        <v/>
      </c>
    </row>
    <row r="212" spans="1:1">
      <c r="A212" s="3" t="str">
        <f t="shared" si="3"/>
        <v/>
      </c>
    </row>
    <row r="213" spans="1:1">
      <c r="A213" s="3" t="str">
        <f t="shared" si="3"/>
        <v/>
      </c>
    </row>
    <row r="214" spans="1:1">
      <c r="A214" s="3" t="str">
        <f t="shared" si="3"/>
        <v/>
      </c>
    </row>
    <row r="215" spans="1:1">
      <c r="A215" s="3" t="str">
        <f t="shared" si="3"/>
        <v/>
      </c>
    </row>
    <row r="216" spans="1:1">
      <c r="A216" s="3" t="str">
        <f t="shared" si="3"/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8750-9D1D-4301-923A-6F3FD7BAD239}">
  <dimension ref="A1:I200"/>
  <sheetViews>
    <sheetView workbookViewId="0">
      <selection activeCell="B10" sqref="B10"/>
    </sheetView>
  </sheetViews>
  <sheetFormatPr defaultRowHeight="17.649999999999999"/>
  <cols>
    <col min="1" max="1" width="33.9375" customWidth="1"/>
    <col min="4" max="4" width="10.875" bestFit="1" customWidth="1"/>
    <col min="5" max="5" width="23.0625" customWidth="1"/>
    <col min="6" max="6" width="10.8125" bestFit="1" customWidth="1"/>
    <col min="7" max="7" width="19.1875" customWidth="1"/>
    <col min="8" max="8" width="10.8125" bestFit="1" customWidth="1"/>
    <col min="9" max="9" width="17.625" bestFit="1" customWidth="1"/>
  </cols>
  <sheetData>
    <row r="1" spans="1:9">
      <c r="B1" s="2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>
      <c r="A2" s="4" t="str" cm="1">
        <f t="array" ref="A2">IFERROR(INDEX(貼付シート!$B$1:$B$10000,SMALL(貼付シート!$A$1:$A$10000,B2)),"")</f>
        <v>001000 EMP-00101 佐藤　一郎　　　　　　 2024/06/01 株式会社北都商事　　　　　　　　     125000 事務用品購入　　　　　</v>
      </c>
      <c r="B2" s="1">
        <v>1</v>
      </c>
      <c r="C2" s="1" t="str">
        <f>MIDB(A2,1,6)</f>
        <v>001000</v>
      </c>
      <c r="D2" s="1" t="str">
        <f>MIDB(A2,8,9)</f>
        <v>EMP-00101</v>
      </c>
      <c r="E2" s="1" t="str">
        <f>TRIM(MIDB(A2,18,23))</f>
        <v>佐藤　一郎</v>
      </c>
      <c r="F2" s="1" t="str">
        <f>MIDB(A2,41,10)</f>
        <v>2024/06/01</v>
      </c>
      <c r="G2" s="1" t="str">
        <f>TRIM(MIDB(A2,52,35))</f>
        <v>株式会社北都商事</v>
      </c>
      <c r="H2" s="1">
        <f>VALUE(TRIM(MIDB(A2,85,10)))</f>
        <v>125000</v>
      </c>
      <c r="I2" s="1" t="str">
        <f>TRIM(MIDB(A2,96,25))</f>
        <v>事務用品購入</v>
      </c>
    </row>
    <row r="3" spans="1:9">
      <c r="A3" s="4" t="str" cm="1">
        <f t="array" ref="A3">IFERROR(INDEX(貼付シート!$B$1:$B$10000,SMALL(貼付シート!$A$1:$A$10000,B3)),"")</f>
        <v>001000 EMP-00101 佐藤　一郎　　　　　　 2024/06/05 有限会社南海物産　　　　　　　　      48000 消耗品補充　　　　　　</v>
      </c>
      <c r="B3" s="1">
        <v>2</v>
      </c>
      <c r="C3" s="1" t="str">
        <f t="shared" ref="C3:C66" si="0">MIDB(A3,1,6)</f>
        <v>001000</v>
      </c>
      <c r="D3" s="1" t="str">
        <f t="shared" ref="D3:D66" si="1">MIDB(A3,8,9)</f>
        <v>EMP-00101</v>
      </c>
      <c r="E3" s="1" t="str">
        <f t="shared" ref="E3:E66" si="2">TRIM(MIDB(A3,18,23))</f>
        <v>佐藤　一郎</v>
      </c>
      <c r="F3" s="1" t="str">
        <f t="shared" ref="F3:F66" si="3">MIDB(A3,41,10)</f>
        <v>2024/06/05</v>
      </c>
      <c r="G3" s="1" t="str">
        <f t="shared" ref="G3:G66" si="4">TRIM(MIDB(A3,52,35))</f>
        <v>有限会社南海物産</v>
      </c>
      <c r="H3" s="1">
        <f t="shared" ref="H3:H66" si="5">VALUE(TRIM(MIDB(A3,85,10)))</f>
        <v>48000</v>
      </c>
      <c r="I3" s="1" t="str">
        <f t="shared" ref="I3:I66" si="6">TRIM(MIDB(A3,96,25))</f>
        <v>消耗品補充</v>
      </c>
    </row>
    <row r="4" spans="1:9">
      <c r="A4" s="4" t="str" cm="1">
        <f t="array" ref="A4">IFERROR(INDEX(貼付シート!$B$1:$B$10000,SMALL(貼付シート!$A$1:$A$10000,B4)),"")</f>
        <v>001000 EMP-00102 鈴木　花子　　　　　　 2024/06/03 合同会社東西サービス　　　　　　      72000 清掃業務委託　　　　　</v>
      </c>
      <c r="B4" s="1">
        <v>3</v>
      </c>
      <c r="C4" s="1" t="str">
        <f t="shared" si="0"/>
        <v>001000</v>
      </c>
      <c r="D4" s="1" t="str">
        <f t="shared" si="1"/>
        <v>EMP-00102</v>
      </c>
      <c r="E4" s="1" t="str">
        <f t="shared" si="2"/>
        <v>鈴木　花子</v>
      </c>
      <c r="F4" s="1" t="str">
        <f t="shared" si="3"/>
        <v>2024/06/03</v>
      </c>
      <c r="G4" s="1" t="str">
        <f t="shared" si="4"/>
        <v>合同会社東西サービス</v>
      </c>
      <c r="H4" s="1">
        <f t="shared" si="5"/>
        <v>72000</v>
      </c>
      <c r="I4" s="1" t="str">
        <f t="shared" si="6"/>
        <v>清掃業務委託</v>
      </c>
    </row>
    <row r="5" spans="1:9">
      <c r="A5" s="4" t="str" cm="1">
        <f t="array" ref="A5">IFERROR(INDEX(貼付シート!$B$1:$B$10000,SMALL(貼付シート!$A$1:$A$10000,B5)),"")</f>
        <v>001000 EMP-00102 鈴木　花子　　　　　　 2024/06/10 株式会社北都商事　　　　　　　　      33500 コピー用紙発注　　　　</v>
      </c>
      <c r="B5" s="1">
        <v>4</v>
      </c>
      <c r="C5" s="1" t="str">
        <f t="shared" si="0"/>
        <v>001000</v>
      </c>
      <c r="D5" s="1" t="str">
        <f t="shared" si="1"/>
        <v>EMP-00102</v>
      </c>
      <c r="E5" s="1" t="str">
        <f t="shared" si="2"/>
        <v>鈴木　花子</v>
      </c>
      <c r="F5" s="1" t="str">
        <f t="shared" si="3"/>
        <v>2024/06/10</v>
      </c>
      <c r="G5" s="1" t="str">
        <f t="shared" si="4"/>
        <v>株式会社北都商事</v>
      </c>
      <c r="H5" s="1">
        <f t="shared" si="5"/>
        <v>33500</v>
      </c>
      <c r="I5" s="1" t="str">
        <f t="shared" si="6"/>
        <v>コピー用紙発注</v>
      </c>
    </row>
    <row r="6" spans="1:9">
      <c r="A6" s="4" t="str" cm="1">
        <f t="array" ref="A6">IFERROR(INDEX(貼付シート!$B$1:$B$10000,SMALL(貼付シート!$A$1:$A$10000,B6)),"")</f>
        <v>001000 EMP-00102 鈴木　花子　　　　　　 2024/06/18 個人事業主田中建設　　　　　　　     185000 修繕工事代金　　　　　</v>
      </c>
      <c r="B6" s="1">
        <v>5</v>
      </c>
      <c r="C6" s="1" t="str">
        <f t="shared" si="0"/>
        <v>001000</v>
      </c>
      <c r="D6" s="1" t="str">
        <f t="shared" si="1"/>
        <v>EMP-00102</v>
      </c>
      <c r="E6" s="1" t="str">
        <f t="shared" si="2"/>
        <v>鈴木　花子</v>
      </c>
      <c r="F6" s="1" t="str">
        <f t="shared" si="3"/>
        <v>2024/06/18</v>
      </c>
      <c r="G6" s="1" t="str">
        <f t="shared" si="4"/>
        <v>個人事業主田中建設</v>
      </c>
      <c r="H6" s="1">
        <f t="shared" si="5"/>
        <v>185000</v>
      </c>
      <c r="I6" s="1" t="str">
        <f t="shared" si="6"/>
        <v>修繕工事代金</v>
      </c>
    </row>
    <row r="7" spans="1:9">
      <c r="A7" s="4" t="str" cm="1">
        <f t="array" ref="A7">IFERROR(INDEX(貼付シート!$B$1:$B$10000,SMALL(貼付シート!$A$1:$A$10000,B7)),"")</f>
        <v>001000 EMP-00103 高橋　健太　　　　　　 2024/06/07 株式会社中央システム　　　　　　      96000 PC保守契約　　　　　　</v>
      </c>
      <c r="B7" s="1">
        <v>6</v>
      </c>
      <c r="C7" s="1" t="str">
        <f t="shared" si="0"/>
        <v>001000</v>
      </c>
      <c r="D7" s="1" t="str">
        <f t="shared" si="1"/>
        <v>EMP-00103</v>
      </c>
      <c r="E7" s="1" t="str">
        <f t="shared" si="2"/>
        <v>高橋　健太</v>
      </c>
      <c r="F7" s="1" t="str">
        <f t="shared" si="3"/>
        <v>2024/06/07</v>
      </c>
      <c r="G7" s="1" t="str">
        <f t="shared" si="4"/>
        <v>株式会社中央システム</v>
      </c>
      <c r="H7" s="1">
        <f t="shared" si="5"/>
        <v>96000</v>
      </c>
      <c r="I7" s="1" t="str">
        <f t="shared" si="6"/>
        <v>PC保守契約</v>
      </c>
    </row>
    <row r="8" spans="1:9">
      <c r="A8" s="4" t="str" cm="1">
        <f t="array" ref="A8">IFERROR(INDEX(貼付シート!$B$1:$B$10000,SMALL(貼付シート!$A$1:$A$10000,B8)),"")</f>
        <v>001000 EMP-00103 高橋　健太　　　　　　 2024/06/12 合同会社東西サービス　　　　　　      15000 名刺印刷　　　　　　　</v>
      </c>
      <c r="B8" s="1">
        <v>7</v>
      </c>
      <c r="C8" s="1" t="str">
        <f t="shared" si="0"/>
        <v>001000</v>
      </c>
      <c r="D8" s="1" t="str">
        <f t="shared" si="1"/>
        <v>EMP-00103</v>
      </c>
      <c r="E8" s="1" t="str">
        <f t="shared" si="2"/>
        <v>高橋　健太</v>
      </c>
      <c r="F8" s="1" t="str">
        <f t="shared" si="3"/>
        <v>2024/06/12</v>
      </c>
      <c r="G8" s="1" t="str">
        <f t="shared" si="4"/>
        <v>合同会社東西サービス</v>
      </c>
      <c r="H8" s="1">
        <f t="shared" si="5"/>
        <v>15000</v>
      </c>
      <c r="I8" s="1" t="str">
        <f t="shared" si="6"/>
        <v>名刺印刷</v>
      </c>
    </row>
    <row r="9" spans="1:9">
      <c r="A9" s="4" t="str" cm="1">
        <f t="array" ref="A9">IFERROR(INDEX(貼付シート!$B$1:$B$10000,SMALL(貼付シート!$A$1:$A$10000,B9)),"")</f>
        <v>001000 EMP-00103 高橋　健太　　　　　　 2024/06/20 有限会社南海物産　　　　　　　　      62000 備品購入　　　　　　　</v>
      </c>
      <c r="B9" s="1">
        <v>8</v>
      </c>
      <c r="C9" s="1" t="str">
        <f t="shared" si="0"/>
        <v>001000</v>
      </c>
      <c r="D9" s="1" t="str">
        <f t="shared" si="1"/>
        <v>EMP-00103</v>
      </c>
      <c r="E9" s="1" t="str">
        <f t="shared" si="2"/>
        <v>高橋　健太</v>
      </c>
      <c r="F9" s="1" t="str">
        <f t="shared" si="3"/>
        <v>2024/06/20</v>
      </c>
      <c r="G9" s="1" t="str">
        <f t="shared" si="4"/>
        <v>有限会社南海物産</v>
      </c>
      <c r="H9" s="1">
        <f t="shared" si="5"/>
        <v>62000</v>
      </c>
      <c r="I9" s="1" t="str">
        <f t="shared" si="6"/>
        <v>備品購入</v>
      </c>
    </row>
    <row r="10" spans="1:9">
      <c r="A10" s="4" t="str" cm="1">
        <f t="array" ref="A10">IFERROR(INDEX(貼付シート!$B$1:$B$10000,SMALL(貼付シート!$A$1:$A$10000,B10)),"")</f>
        <v>001000 EMP-00104 渡辺　美咲　　　　　　 2024/06/08 株式会社北都商事　　　　　　　　      27500 封筒印刷　　　　　　　</v>
      </c>
      <c r="B10" s="1">
        <v>9</v>
      </c>
      <c r="C10" s="1" t="str">
        <f t="shared" si="0"/>
        <v>001000</v>
      </c>
      <c r="D10" s="1" t="str">
        <f t="shared" si="1"/>
        <v>EMP-00104</v>
      </c>
      <c r="E10" s="1" t="str">
        <f t="shared" si="2"/>
        <v>渡辺　美咲</v>
      </c>
      <c r="F10" s="1" t="str">
        <f t="shared" si="3"/>
        <v>2024/06/08</v>
      </c>
      <c r="G10" s="1" t="str">
        <f t="shared" si="4"/>
        <v>株式会社北都商事</v>
      </c>
      <c r="H10" s="1">
        <f t="shared" si="5"/>
        <v>27500</v>
      </c>
      <c r="I10" s="1" t="str">
        <f t="shared" si="6"/>
        <v>封筒印刷</v>
      </c>
    </row>
    <row r="11" spans="1:9">
      <c r="A11" s="4" t="str" cm="1">
        <f t="array" ref="A11">IFERROR(INDEX(貼付シート!$B$1:$B$10000,SMALL(貼付シート!$A$1:$A$10000,B11)),"")</f>
        <v>001000 EMP-00104 渡辺　美咲　　　　　　 2024/06/15 株式会社中央システム　　　　　　     110000 サーバー保守　　　　　</v>
      </c>
      <c r="B11" s="1">
        <v>10</v>
      </c>
      <c r="C11" s="1" t="str">
        <f t="shared" si="0"/>
        <v>001000</v>
      </c>
      <c r="D11" s="1" t="str">
        <f t="shared" si="1"/>
        <v>EMP-00104</v>
      </c>
      <c r="E11" s="1" t="str">
        <f t="shared" si="2"/>
        <v>渡辺　美咲</v>
      </c>
      <c r="F11" s="1" t="str">
        <f t="shared" si="3"/>
        <v>2024/06/15</v>
      </c>
      <c r="G11" s="1" t="str">
        <f t="shared" si="4"/>
        <v>株式会社中央システム</v>
      </c>
      <c r="H11" s="1">
        <f t="shared" si="5"/>
        <v>110000</v>
      </c>
      <c r="I11" s="1" t="str">
        <f t="shared" si="6"/>
        <v>サーバー保守</v>
      </c>
    </row>
    <row r="12" spans="1:9">
      <c r="A12" s="4" t="str" cm="1">
        <f t="array" ref="A12">IFERROR(INDEX(貼付シート!$B$1:$B$10000,SMALL(貼付シート!$A$1:$A$10000,B12)),"")</f>
        <v>001000 EMP-00104 渡辺　美咲　　　　　　 2024/06/22 有限会社南海物産　　　　　　　　      44000 衛生用品購入　　　　　</v>
      </c>
      <c r="B12" s="1">
        <v>11</v>
      </c>
      <c r="C12" s="1" t="str">
        <f t="shared" si="0"/>
        <v>001000</v>
      </c>
      <c r="D12" s="1" t="str">
        <f t="shared" si="1"/>
        <v>EMP-00104</v>
      </c>
      <c r="E12" s="1" t="str">
        <f t="shared" si="2"/>
        <v>渡辺　美咲</v>
      </c>
      <c r="F12" s="1" t="str">
        <f t="shared" si="3"/>
        <v>2024/06/22</v>
      </c>
      <c r="G12" s="1" t="str">
        <f t="shared" si="4"/>
        <v>有限会社南海物産</v>
      </c>
      <c r="H12" s="1">
        <f t="shared" si="5"/>
        <v>44000</v>
      </c>
      <c r="I12" s="1" t="str">
        <f t="shared" si="6"/>
        <v>衛生用品購入</v>
      </c>
    </row>
    <row r="13" spans="1:9">
      <c r="A13" s="4" t="str" cm="1">
        <f t="array" ref="A13">IFERROR(INDEX(貼付シート!$B$1:$B$10000,SMALL(貼付シート!$A$1:$A$10000,B13)),"")</f>
        <v>001000 EMP-00105 伊藤　大輔　　　　　　 2024/06/11 個人事業主田中建設　　　　　　　     230000 空調設備点検　　　　　</v>
      </c>
      <c r="B13" s="1">
        <v>12</v>
      </c>
      <c r="C13" s="1" t="str">
        <f t="shared" si="0"/>
        <v>001000</v>
      </c>
      <c r="D13" s="1" t="str">
        <f t="shared" si="1"/>
        <v>EMP-00105</v>
      </c>
      <c r="E13" s="1" t="str">
        <f t="shared" si="2"/>
        <v>伊藤　大輔</v>
      </c>
      <c r="F13" s="1" t="str">
        <f t="shared" si="3"/>
        <v>2024/06/11</v>
      </c>
      <c r="G13" s="1" t="str">
        <f t="shared" si="4"/>
        <v>個人事業主田中建設</v>
      </c>
      <c r="H13" s="1">
        <f t="shared" si="5"/>
        <v>230000</v>
      </c>
      <c r="I13" s="1" t="str">
        <f t="shared" si="6"/>
        <v>空調設備点検</v>
      </c>
    </row>
    <row r="14" spans="1:9">
      <c r="A14" s="4" t="str" cm="1">
        <f t="array" ref="A14">IFERROR(INDEX(貼付シート!$B$1:$B$10000,SMALL(貼付シート!$A$1:$A$10000,B14)),"")</f>
        <v>001000 EMP-00105 伊藤　大輔　　　　　　 2024/06/25 合同会社東西サービス　　　　　　      58000 警備業務委託　　　　　</v>
      </c>
      <c r="B14" s="1">
        <v>13</v>
      </c>
      <c r="C14" s="1" t="str">
        <f t="shared" si="0"/>
        <v>001000</v>
      </c>
      <c r="D14" s="1" t="str">
        <f t="shared" si="1"/>
        <v>EMP-00105</v>
      </c>
      <c r="E14" s="1" t="str">
        <f t="shared" si="2"/>
        <v>伊藤　大輔</v>
      </c>
      <c r="F14" s="1" t="str">
        <f t="shared" si="3"/>
        <v>2024/06/25</v>
      </c>
      <c r="G14" s="1" t="str">
        <f t="shared" si="4"/>
        <v>合同会社東西サービス</v>
      </c>
      <c r="H14" s="1">
        <f t="shared" si="5"/>
        <v>58000</v>
      </c>
      <c r="I14" s="1" t="str">
        <f t="shared" si="6"/>
        <v>警備業務委託</v>
      </c>
    </row>
    <row r="15" spans="1:9">
      <c r="A15" s="4" t="str" cm="1">
        <f t="array" ref="A15">IFERROR(INDEX(貼付シート!$B$1:$B$10000,SMALL(貼付シート!$A$1:$A$10000,B15)),"")</f>
        <v>001000 EMP-00105 伊藤　大輔　　　　　　 2024/06/28 株式会社北都商事　　　　　　　　      19500 文具発注　　　　　　　</v>
      </c>
      <c r="B15" s="1">
        <v>14</v>
      </c>
      <c r="C15" s="1" t="str">
        <f t="shared" si="0"/>
        <v>001000</v>
      </c>
      <c r="D15" s="1" t="str">
        <f t="shared" si="1"/>
        <v>EMP-00105</v>
      </c>
      <c r="E15" s="1" t="str">
        <f t="shared" si="2"/>
        <v>伊藤　大輔</v>
      </c>
      <c r="F15" s="1" t="str">
        <f t="shared" si="3"/>
        <v>2024/06/28</v>
      </c>
      <c r="G15" s="1" t="str">
        <f t="shared" si="4"/>
        <v>株式会社北都商事</v>
      </c>
      <c r="H15" s="1">
        <f t="shared" si="5"/>
        <v>19500</v>
      </c>
      <c r="I15" s="1" t="str">
        <f t="shared" si="6"/>
        <v>文具発注</v>
      </c>
    </row>
    <row r="16" spans="1:9">
      <c r="A16" s="4" t="str" cm="1">
        <f t="array" ref="A16">IFERROR(INDEX(貼付シート!$B$1:$B$10000,SMALL(貼付シート!$A$1:$A$10000,B16)),"")</f>
        <v>002000 EMP-00201 中村　翔太　　　　　　 2024/06/02 株式会社西日本工業　　　　　　　     340000 製品納品代金　　　　　</v>
      </c>
      <c r="B16" s="1">
        <v>15</v>
      </c>
      <c r="C16" s="1" t="str">
        <f t="shared" si="0"/>
        <v>002000</v>
      </c>
      <c r="D16" s="1" t="str">
        <f t="shared" si="1"/>
        <v>EMP-00201</v>
      </c>
      <c r="E16" s="1" t="str">
        <f t="shared" si="2"/>
        <v>中村　翔太</v>
      </c>
      <c r="F16" s="1" t="str">
        <f t="shared" si="3"/>
        <v>2024/06/02</v>
      </c>
      <c r="G16" s="1" t="str">
        <f t="shared" si="4"/>
        <v>株式会社西日本工業</v>
      </c>
      <c r="H16" s="1">
        <f t="shared" si="5"/>
        <v>340000</v>
      </c>
      <c r="I16" s="1" t="str">
        <f t="shared" si="6"/>
        <v>製品納品代金</v>
      </c>
    </row>
    <row r="17" spans="1:9">
      <c r="A17" s="4" t="str" cm="1">
        <f t="array" ref="A17">IFERROR(INDEX(貼付シート!$B$1:$B$10000,SMALL(貼付シート!$A$1:$A$10000,B17)),"")</f>
        <v>002000 EMP-00201 中村　翔太　　　　　　 2024/06/09 有限会社丸山製作所　　　　　　　     187000 部品調達費　　　　　　</v>
      </c>
      <c r="B17" s="1">
        <v>16</v>
      </c>
      <c r="C17" s="1" t="str">
        <f t="shared" si="0"/>
        <v>002000</v>
      </c>
      <c r="D17" s="1" t="str">
        <f t="shared" si="1"/>
        <v>EMP-00201</v>
      </c>
      <c r="E17" s="1" t="str">
        <f t="shared" si="2"/>
        <v>中村　翔太</v>
      </c>
      <c r="F17" s="1" t="str">
        <f t="shared" si="3"/>
        <v>2024/06/09</v>
      </c>
      <c r="G17" s="1" t="str">
        <f t="shared" si="4"/>
        <v>有限会社丸山製作所</v>
      </c>
      <c r="H17" s="1">
        <f t="shared" si="5"/>
        <v>187000</v>
      </c>
      <c r="I17" s="1" t="str">
        <f t="shared" si="6"/>
        <v>部品調達費</v>
      </c>
    </row>
    <row r="18" spans="1:9">
      <c r="A18" s="4" t="str" cm="1">
        <f t="array" ref="A18">IFERROR(INDEX(貼付シート!$B$1:$B$10000,SMALL(貼付シート!$A$1:$A$10000,B18)),"")</f>
        <v>002000 EMP-00201 中村　翔太　　　　　　 2024/06/16 株式会社大和運輸　　　　　　　　      55000 配送料　　　　　　　　</v>
      </c>
      <c r="B18" s="1">
        <v>17</v>
      </c>
      <c r="C18" s="1" t="str">
        <f t="shared" si="0"/>
        <v>002000</v>
      </c>
      <c r="D18" s="1" t="str">
        <f t="shared" si="1"/>
        <v>EMP-00201</v>
      </c>
      <c r="E18" s="1" t="str">
        <f t="shared" si="2"/>
        <v>中村　翔太</v>
      </c>
      <c r="F18" s="1" t="str">
        <f t="shared" si="3"/>
        <v>2024/06/16</v>
      </c>
      <c r="G18" s="1" t="str">
        <f t="shared" si="4"/>
        <v>株式会社大和運輸</v>
      </c>
      <c r="H18" s="1">
        <f t="shared" si="5"/>
        <v>55000</v>
      </c>
      <c r="I18" s="1" t="str">
        <f t="shared" si="6"/>
        <v>配送料</v>
      </c>
    </row>
    <row r="19" spans="1:9">
      <c r="A19" s="4" t="str" cm="1">
        <f t="array" ref="A19">IFERROR(INDEX(貼付シート!$B$1:$B$10000,SMALL(貼付シート!$A$1:$A$10000,B19)),"")</f>
        <v>002000 EMP-00202 小林　真由美　　　　　 2024/06/04 合同会社グローバル通商　　　　　     420000 輸入代行手数料　　　　</v>
      </c>
      <c r="B19" s="1">
        <v>18</v>
      </c>
      <c r="C19" s="1" t="str">
        <f t="shared" si="0"/>
        <v>002000</v>
      </c>
      <c r="D19" s="1" t="str">
        <f t="shared" si="1"/>
        <v>EMP-00202</v>
      </c>
      <c r="E19" s="1" t="str">
        <f t="shared" si="2"/>
        <v>小林　真由美</v>
      </c>
      <c r="F19" s="1" t="str">
        <f t="shared" si="3"/>
        <v>2024/06/04</v>
      </c>
      <c r="G19" s="1" t="str">
        <f t="shared" si="4"/>
        <v>合同会社グローバル通商</v>
      </c>
      <c r="H19" s="1">
        <f t="shared" si="5"/>
        <v>420000</v>
      </c>
      <c r="I19" s="1" t="str">
        <f t="shared" si="6"/>
        <v>輸入代行手数料</v>
      </c>
    </row>
    <row r="20" spans="1:9">
      <c r="A20" s="4" t="str" cm="1">
        <f t="array" ref="A20">IFERROR(INDEX(貼付シート!$B$1:$B$10000,SMALL(貼付シート!$A$1:$A$10000,B20)),"")</f>
        <v>002000 EMP-00202 小林　真由美　　　　　 2024/06/13 株式会社西日本工業　　　　　　　     215000 金型製作費　　　　　　</v>
      </c>
      <c r="B20" s="1">
        <v>19</v>
      </c>
      <c r="C20" s="1" t="str">
        <f t="shared" si="0"/>
        <v>002000</v>
      </c>
      <c r="D20" s="1" t="str">
        <f t="shared" si="1"/>
        <v>EMP-00202</v>
      </c>
      <c r="E20" s="1" t="str">
        <f t="shared" si="2"/>
        <v>小林　真由美</v>
      </c>
      <c r="F20" s="1" t="str">
        <f t="shared" si="3"/>
        <v>2024/06/13</v>
      </c>
      <c r="G20" s="1" t="str">
        <f t="shared" si="4"/>
        <v>株式会社西日本工業</v>
      </c>
      <c r="H20" s="1">
        <f t="shared" si="5"/>
        <v>215000</v>
      </c>
      <c r="I20" s="1" t="str">
        <f t="shared" si="6"/>
        <v>金型製作費</v>
      </c>
    </row>
    <row r="21" spans="1:9">
      <c r="A21" s="4" t="str" cm="1">
        <f t="array" ref="A21">IFERROR(INDEX(貼付シート!$B$1:$B$10000,SMALL(貼付シート!$A$1:$A$10000,B21)),"")</f>
        <v>002000 EMP-00202 小林　真由美　　　　　 2024/06/19 有限会社丸山製作所　　　　　　　      78000 試作品費用　　　　　　</v>
      </c>
      <c r="B21" s="1">
        <v>20</v>
      </c>
      <c r="C21" s="1" t="str">
        <f t="shared" si="0"/>
        <v>002000</v>
      </c>
      <c r="D21" s="1" t="str">
        <f t="shared" si="1"/>
        <v>EMP-00202</v>
      </c>
      <c r="E21" s="1" t="str">
        <f t="shared" si="2"/>
        <v>小林　真由美</v>
      </c>
      <c r="F21" s="1" t="str">
        <f t="shared" si="3"/>
        <v>2024/06/19</v>
      </c>
      <c r="G21" s="1" t="str">
        <f t="shared" si="4"/>
        <v>有限会社丸山製作所</v>
      </c>
      <c r="H21" s="1">
        <f t="shared" si="5"/>
        <v>78000</v>
      </c>
      <c r="I21" s="1" t="str">
        <f t="shared" si="6"/>
        <v>試作品費用</v>
      </c>
    </row>
    <row r="22" spans="1:9">
      <c r="A22" s="4" t="str" cm="1">
        <f t="array" ref="A22">IFERROR(INDEX(貼付シート!$B$1:$B$10000,SMALL(貼付シート!$A$1:$A$10000,B22)),"")</f>
        <v>002000 EMP-00202 小林　真由美　　　　　 2024/06/26 株式会社大和運輸　　　　　　　　      42000 梱包資材　　　　　　　</v>
      </c>
      <c r="B22" s="1">
        <v>21</v>
      </c>
      <c r="C22" s="1" t="str">
        <f t="shared" si="0"/>
        <v>002000</v>
      </c>
      <c r="D22" s="1" t="str">
        <f t="shared" si="1"/>
        <v>EMP-00202</v>
      </c>
      <c r="E22" s="1" t="str">
        <f t="shared" si="2"/>
        <v>小林　真由美</v>
      </c>
      <c r="F22" s="1" t="str">
        <f t="shared" si="3"/>
        <v>2024/06/26</v>
      </c>
      <c r="G22" s="1" t="str">
        <f t="shared" si="4"/>
        <v>株式会社大和運輸</v>
      </c>
      <c r="H22" s="1">
        <f t="shared" si="5"/>
        <v>42000</v>
      </c>
      <c r="I22" s="1" t="str">
        <f t="shared" si="6"/>
        <v>梱包資材</v>
      </c>
    </row>
    <row r="23" spans="1:9">
      <c r="A23" s="4" t="str" cm="1">
        <f t="array" ref="A23">IFERROR(INDEX(貼付シート!$B$1:$B$10000,SMALL(貼付シート!$A$1:$A$10000,B23)),"")</f>
        <v>002000 EMP-00203 松本　裕也　　　　　　 2024/06/06 株式会社西日本工業　　　　　　　     290000 設備部品納品　　　　　</v>
      </c>
      <c r="B23" s="1">
        <v>22</v>
      </c>
      <c r="C23" s="1" t="str">
        <f t="shared" si="0"/>
        <v>002000</v>
      </c>
      <c r="D23" s="1" t="str">
        <f t="shared" si="1"/>
        <v>EMP-00203</v>
      </c>
      <c r="E23" s="1" t="str">
        <f t="shared" si="2"/>
        <v>松本　裕也</v>
      </c>
      <c r="F23" s="1" t="str">
        <f t="shared" si="3"/>
        <v>2024/06/06</v>
      </c>
      <c r="G23" s="1" t="str">
        <f t="shared" si="4"/>
        <v>株式会社西日本工業</v>
      </c>
      <c r="H23" s="1">
        <f t="shared" si="5"/>
        <v>290000</v>
      </c>
      <c r="I23" s="1" t="str">
        <f t="shared" si="6"/>
        <v>設備部品納品</v>
      </c>
    </row>
    <row r="24" spans="1:9">
      <c r="A24" s="4" t="str" cm="1">
        <f t="array" ref="A24">IFERROR(INDEX(貼付シート!$B$1:$B$10000,SMALL(貼付シート!$A$1:$A$10000,B24)),"")</f>
        <v>002000 EMP-00203 松本　裕也　　　　　　 2024/06/14 合同会社グローバル通商　　　　　     156000 通関手数料　　　　　　</v>
      </c>
      <c r="B24" s="1">
        <v>23</v>
      </c>
      <c r="C24" s="1" t="str">
        <f t="shared" si="0"/>
        <v>002000</v>
      </c>
      <c r="D24" s="1" t="str">
        <f t="shared" si="1"/>
        <v>EMP-00203</v>
      </c>
      <c r="E24" s="1" t="str">
        <f t="shared" si="2"/>
        <v>松本　裕也</v>
      </c>
      <c r="F24" s="1" t="str">
        <f t="shared" si="3"/>
        <v>2024/06/14</v>
      </c>
      <c r="G24" s="1" t="str">
        <f t="shared" si="4"/>
        <v>合同会社グローバル通商</v>
      </c>
      <c r="H24" s="1">
        <f t="shared" si="5"/>
        <v>156000</v>
      </c>
      <c r="I24" s="1" t="str">
        <f t="shared" si="6"/>
        <v>通関手数料</v>
      </c>
    </row>
    <row r="25" spans="1:9">
      <c r="A25" s="4" t="str" cm="1">
        <f t="array" ref="A25">IFERROR(INDEX(貼付シート!$B$1:$B$10000,SMALL(貼付シート!$A$1:$A$10000,B25)),"")</f>
        <v>002000 EMP-00203 松本　裕也　　　　　　 2024/06/21 有限会社丸山製作所　　　　　　　      88000 検査費用　　　　　　　</v>
      </c>
      <c r="B25" s="1">
        <v>24</v>
      </c>
      <c r="C25" s="1" t="str">
        <f t="shared" si="0"/>
        <v>002000</v>
      </c>
      <c r="D25" s="1" t="str">
        <f t="shared" si="1"/>
        <v>EMP-00203</v>
      </c>
      <c r="E25" s="1" t="str">
        <f t="shared" si="2"/>
        <v>松本　裕也</v>
      </c>
      <c r="F25" s="1" t="str">
        <f t="shared" si="3"/>
        <v>2024/06/21</v>
      </c>
      <c r="G25" s="1" t="str">
        <f t="shared" si="4"/>
        <v>有限会社丸山製作所</v>
      </c>
      <c r="H25" s="1">
        <f t="shared" si="5"/>
        <v>88000</v>
      </c>
      <c r="I25" s="1" t="str">
        <f t="shared" si="6"/>
        <v>検査費用</v>
      </c>
    </row>
    <row r="26" spans="1:9">
      <c r="A26" s="4" t="str" cm="1">
        <f t="array" ref="A26">IFERROR(INDEX(貼付シート!$B$1:$B$10000,SMALL(貼付シート!$A$1:$A$10000,B26)),"")</f>
        <v>002000 EMP-00204 吉田　あかり　　　　　 2024/06/10 株式会社大和運輸　　　　　　　　      67000 特急配送料　　　　　　</v>
      </c>
      <c r="B26" s="1">
        <v>25</v>
      </c>
      <c r="C26" s="1" t="str">
        <f t="shared" si="0"/>
        <v>002000</v>
      </c>
      <c r="D26" s="1" t="str">
        <f t="shared" si="1"/>
        <v>EMP-00204</v>
      </c>
      <c r="E26" s="1" t="str">
        <f t="shared" si="2"/>
        <v>吉田　あかり</v>
      </c>
      <c r="F26" s="1" t="str">
        <f t="shared" si="3"/>
        <v>2024/06/10</v>
      </c>
      <c r="G26" s="1" t="str">
        <f t="shared" si="4"/>
        <v>株式会社大和運輸</v>
      </c>
      <c r="H26" s="1">
        <f t="shared" si="5"/>
        <v>67000</v>
      </c>
      <c r="I26" s="1" t="str">
        <f t="shared" si="6"/>
        <v>特急配送料</v>
      </c>
    </row>
    <row r="27" spans="1:9">
      <c r="A27" s="4" t="str" cm="1">
        <f t="array" ref="A27">IFERROR(INDEX(貼付シート!$B$1:$B$10000,SMALL(貼付シート!$A$1:$A$10000,B27)),"")</f>
        <v>002000 EMP-00204 吉田　あかり　　　　　 2024/06/23 株式会社西日本工業　　　　　　　     198000 追加発注分　　　　　　</v>
      </c>
      <c r="B27" s="1">
        <v>26</v>
      </c>
      <c r="C27" s="1" t="str">
        <f t="shared" si="0"/>
        <v>002000</v>
      </c>
      <c r="D27" s="1" t="str">
        <f t="shared" si="1"/>
        <v>EMP-00204</v>
      </c>
      <c r="E27" s="1" t="str">
        <f t="shared" si="2"/>
        <v>吉田　あかり</v>
      </c>
      <c r="F27" s="1" t="str">
        <f t="shared" si="3"/>
        <v>2024/06/23</v>
      </c>
      <c r="G27" s="1" t="str">
        <f t="shared" si="4"/>
        <v>株式会社西日本工業</v>
      </c>
      <c r="H27" s="1">
        <f t="shared" si="5"/>
        <v>198000</v>
      </c>
      <c r="I27" s="1" t="str">
        <f t="shared" si="6"/>
        <v>追加発注分</v>
      </c>
    </row>
    <row r="28" spans="1:9">
      <c r="A28" s="4" t="str" cm="1">
        <f t="array" ref="A28">IFERROR(INDEX(貼付シート!$B$1:$B$10000,SMALL(貼付シート!$A$1:$A$10000,B28)),"")</f>
        <v>002000 EMP-00204 吉田　あかり　　　　　 2024/06/29 合同会社グローバル通商　　　　　     310000 海外送金手数料　　　　</v>
      </c>
      <c r="B28" s="1">
        <v>27</v>
      </c>
      <c r="C28" s="1" t="str">
        <f t="shared" si="0"/>
        <v>002000</v>
      </c>
      <c r="D28" s="1" t="str">
        <f t="shared" si="1"/>
        <v>EMP-00204</v>
      </c>
      <c r="E28" s="1" t="str">
        <f t="shared" si="2"/>
        <v>吉田　あかり</v>
      </c>
      <c r="F28" s="1" t="str">
        <f t="shared" si="3"/>
        <v>2024/06/29</v>
      </c>
      <c r="G28" s="1" t="str">
        <f t="shared" si="4"/>
        <v>合同会社グローバル通商</v>
      </c>
      <c r="H28" s="1">
        <f t="shared" si="5"/>
        <v>310000</v>
      </c>
      <c r="I28" s="1" t="str">
        <f t="shared" si="6"/>
        <v>海外送金手数料</v>
      </c>
    </row>
    <row r="29" spans="1:9">
      <c r="A29" s="4" t="str" cm="1">
        <f t="array" ref="A29">IFERROR(INDEX(貼付シート!$B$1:$B$10000,SMALL(貼付シート!$A$1:$A$10000,B29)),"")</f>
        <v>003000 EMP-00301 山本　拓海　　　　　　 2024/06/01 株式会社千代田電機　　　　　　　     178000 電気部品納品　　　　　</v>
      </c>
      <c r="B29" s="1">
        <v>28</v>
      </c>
      <c r="C29" s="1" t="str">
        <f t="shared" si="0"/>
        <v>003000</v>
      </c>
      <c r="D29" s="1" t="str">
        <f t="shared" si="1"/>
        <v>EMP-00301</v>
      </c>
      <c r="E29" s="1" t="str">
        <f t="shared" si="2"/>
        <v>山本　拓海</v>
      </c>
      <c r="F29" s="1" t="str">
        <f t="shared" si="3"/>
        <v>2024/06/01</v>
      </c>
      <c r="G29" s="1" t="str">
        <f t="shared" si="4"/>
        <v>株式会社千代田電機</v>
      </c>
      <c r="H29" s="1">
        <f t="shared" si="5"/>
        <v>178000</v>
      </c>
      <c r="I29" s="1" t="str">
        <f t="shared" si="6"/>
        <v>電気部品納品</v>
      </c>
    </row>
    <row r="30" spans="1:9">
      <c r="A30" s="4" t="str" cm="1">
        <f t="array" ref="A30">IFERROR(INDEX(貼付シート!$B$1:$B$10000,SMALL(貼付シート!$A$1:$A$10000,B30)),"")</f>
        <v>003000 EMP-00301 山本　拓海　　　　　　 2024/06/08 有限会社光陽産業　　　　　　　　      93000 樹脂成形品　　　　　　</v>
      </c>
      <c r="B30" s="1">
        <v>29</v>
      </c>
      <c r="C30" s="1" t="str">
        <f t="shared" si="0"/>
        <v>003000</v>
      </c>
      <c r="D30" s="1" t="str">
        <f t="shared" si="1"/>
        <v>EMP-00301</v>
      </c>
      <c r="E30" s="1" t="str">
        <f t="shared" si="2"/>
        <v>山本　拓海</v>
      </c>
      <c r="F30" s="1" t="str">
        <f t="shared" si="3"/>
        <v>2024/06/08</v>
      </c>
      <c r="G30" s="1" t="str">
        <f t="shared" si="4"/>
        <v>有限会社光陽産業</v>
      </c>
      <c r="H30" s="1">
        <f t="shared" si="5"/>
        <v>93000</v>
      </c>
      <c r="I30" s="1" t="str">
        <f t="shared" si="6"/>
        <v>樹脂成形品</v>
      </c>
    </row>
    <row r="31" spans="1:9">
      <c r="A31" s="4" t="str" cm="1">
        <f t="array" ref="A31">IFERROR(INDEX(貼付シート!$B$1:$B$10000,SMALL(貼付シート!$A$1:$A$10000,B31)),"")</f>
        <v>003000 EMP-00301 山本　拓海　　　　　　 2024/06/17 株式会社千代田電機　　　　　　　     245000 制御盤製作　　　　　　</v>
      </c>
      <c r="B31" s="1">
        <v>30</v>
      </c>
      <c r="C31" s="1" t="str">
        <f t="shared" si="0"/>
        <v>003000</v>
      </c>
      <c r="D31" s="1" t="str">
        <f t="shared" si="1"/>
        <v>EMP-00301</v>
      </c>
      <c r="E31" s="1" t="str">
        <f t="shared" si="2"/>
        <v>山本　拓海</v>
      </c>
      <c r="F31" s="1" t="str">
        <f t="shared" si="3"/>
        <v>2024/06/17</v>
      </c>
      <c r="G31" s="1" t="str">
        <f t="shared" si="4"/>
        <v>株式会社千代田電機</v>
      </c>
      <c r="H31" s="1">
        <f t="shared" si="5"/>
        <v>245000</v>
      </c>
      <c r="I31" s="1" t="str">
        <f t="shared" si="6"/>
        <v>制御盤製作</v>
      </c>
    </row>
    <row r="32" spans="1:9">
      <c r="A32" s="4" t="str" cm="1">
        <f t="array" ref="A32">IFERROR(INDEX(貼付シート!$B$1:$B$10000,SMALL(貼付シート!$A$1:$A$10000,B32)),"")</f>
        <v>003000 EMP-00301 山本　拓海　　　　　　 2024/06/24 合同会社みらい技研　　　　　　　      56000 技術資料作成　　　　　</v>
      </c>
      <c r="B32" s="1">
        <v>31</v>
      </c>
      <c r="C32" s="1" t="str">
        <f t="shared" si="0"/>
        <v>003000</v>
      </c>
      <c r="D32" s="1" t="str">
        <f t="shared" si="1"/>
        <v>EMP-00301</v>
      </c>
      <c r="E32" s="1" t="str">
        <f t="shared" si="2"/>
        <v>山本　拓海</v>
      </c>
      <c r="F32" s="1" t="str">
        <f t="shared" si="3"/>
        <v>2024/06/24</v>
      </c>
      <c r="G32" s="1" t="str">
        <f t="shared" si="4"/>
        <v>合同会社みらい技研</v>
      </c>
      <c r="H32" s="1">
        <f t="shared" si="5"/>
        <v>56000</v>
      </c>
      <c r="I32" s="1" t="str">
        <f t="shared" si="6"/>
        <v>技術資料作成</v>
      </c>
    </row>
    <row r="33" spans="1:9">
      <c r="A33" s="4" t="str" cm="1">
        <f t="array" ref="A33">IFERROR(INDEX(貼付シート!$B$1:$B$10000,SMALL(貼付シート!$A$1:$A$10000,B33)),"")</f>
        <v>003000 EMP-00302 井上　さくら　　　　　 2024/06/03 有限会社光陽産業　　　　　　　　     132000 金属加工品　　　　　　</v>
      </c>
      <c r="B33" s="1">
        <v>32</v>
      </c>
      <c r="C33" s="1" t="str">
        <f t="shared" si="0"/>
        <v>003000</v>
      </c>
      <c r="D33" s="1" t="str">
        <f t="shared" si="1"/>
        <v>EMP-00302</v>
      </c>
      <c r="E33" s="1" t="str">
        <f t="shared" si="2"/>
        <v>井上　さくら</v>
      </c>
      <c r="F33" s="1" t="str">
        <f t="shared" si="3"/>
        <v>2024/06/03</v>
      </c>
      <c r="G33" s="1" t="str">
        <f t="shared" si="4"/>
        <v>有限会社光陽産業</v>
      </c>
      <c r="H33" s="1">
        <f t="shared" si="5"/>
        <v>132000</v>
      </c>
      <c r="I33" s="1" t="str">
        <f t="shared" si="6"/>
        <v>金属加工品</v>
      </c>
    </row>
    <row r="34" spans="1:9">
      <c r="A34" s="4" t="str" cm="1">
        <f t="array" ref="A34">IFERROR(INDEX(貼付シート!$B$1:$B$10000,SMALL(貼付シート!$A$1:$A$10000,B34)),"")</f>
        <v>003000 EMP-00302 井上　さくら　　　　　 2024/06/11 株式会社千代田電機　　　　　　　      67000 配線部材　　　　　　　</v>
      </c>
      <c r="B34" s="1">
        <v>33</v>
      </c>
      <c r="C34" s="1" t="str">
        <f t="shared" si="0"/>
        <v>003000</v>
      </c>
      <c r="D34" s="1" t="str">
        <f t="shared" si="1"/>
        <v>EMP-00302</v>
      </c>
      <c r="E34" s="1" t="str">
        <f t="shared" si="2"/>
        <v>井上　さくら</v>
      </c>
      <c r="F34" s="1" t="str">
        <f t="shared" si="3"/>
        <v>2024/06/11</v>
      </c>
      <c r="G34" s="1" t="str">
        <f t="shared" si="4"/>
        <v>株式会社千代田電機</v>
      </c>
      <c r="H34" s="1">
        <f t="shared" si="5"/>
        <v>67000</v>
      </c>
      <c r="I34" s="1" t="str">
        <f t="shared" si="6"/>
        <v>配線部材</v>
      </c>
    </row>
    <row r="35" spans="1:9">
      <c r="A35" s="4" t="str" cm="1">
        <f t="array" ref="A35">IFERROR(INDEX(貼付シート!$B$1:$B$10000,SMALL(貼付シート!$A$1:$A$10000,B35)),"")</f>
        <v>003000 EMP-00302 井上　さくら　　　　　 2024/06/20 合同会社みらい技研　　　　　　　     205000 設計委託費　　　　　　</v>
      </c>
      <c r="B35" s="1">
        <v>34</v>
      </c>
      <c r="C35" s="1" t="str">
        <f t="shared" si="0"/>
        <v>003000</v>
      </c>
      <c r="D35" s="1" t="str">
        <f t="shared" si="1"/>
        <v>EMP-00302</v>
      </c>
      <c r="E35" s="1" t="str">
        <f t="shared" si="2"/>
        <v>井上　さくら</v>
      </c>
      <c r="F35" s="1" t="str">
        <f t="shared" si="3"/>
        <v>2024/06/20</v>
      </c>
      <c r="G35" s="1" t="str">
        <f t="shared" si="4"/>
        <v>合同会社みらい技研</v>
      </c>
      <c r="H35" s="1">
        <f t="shared" si="5"/>
        <v>205000</v>
      </c>
      <c r="I35" s="1" t="str">
        <f t="shared" si="6"/>
        <v>設計委託費</v>
      </c>
    </row>
    <row r="36" spans="1:9">
      <c r="A36" s="4" t="str" cm="1">
        <f t="array" ref="A36">IFERROR(INDEX(貼付シート!$B$1:$B$10000,SMALL(貼付シート!$A$1:$A$10000,B36)),"")</f>
        <v>003000 EMP-00303 木村　蓮　　　　　　　 2024/06/05 株式会社千代田電機　　　　　　　     310000 変圧器納品　　　　　　</v>
      </c>
      <c r="B36" s="1">
        <v>35</v>
      </c>
      <c r="C36" s="1" t="str">
        <f t="shared" si="0"/>
        <v>003000</v>
      </c>
      <c r="D36" s="1" t="str">
        <f t="shared" si="1"/>
        <v>EMP-00303</v>
      </c>
      <c r="E36" s="1" t="str">
        <f t="shared" si="2"/>
        <v>木村　蓮</v>
      </c>
      <c r="F36" s="1" t="str">
        <f t="shared" si="3"/>
        <v>2024/06/05</v>
      </c>
      <c r="G36" s="1" t="str">
        <f t="shared" si="4"/>
        <v>株式会社千代田電機</v>
      </c>
      <c r="H36" s="1">
        <f t="shared" si="5"/>
        <v>310000</v>
      </c>
      <c r="I36" s="1" t="str">
        <f t="shared" si="6"/>
        <v>変圧器納品</v>
      </c>
    </row>
    <row r="37" spans="1:9">
      <c r="A37" s="4" t="str" cm="1">
        <f t="array" ref="A37">IFERROR(INDEX(貼付シート!$B$1:$B$10000,SMALL(貼付シート!$A$1:$A$10000,B37)),"")</f>
        <v>003000 EMP-00303 木村　蓮　　　　　　　 2024/06/15 有限会社光陽産業　　　　　　　　      88000 試作品費用　　　　　　</v>
      </c>
      <c r="B37" s="1">
        <v>36</v>
      </c>
      <c r="C37" s="1" t="str">
        <f t="shared" si="0"/>
        <v>003000</v>
      </c>
      <c r="D37" s="1" t="str">
        <f t="shared" si="1"/>
        <v>EMP-00303</v>
      </c>
      <c r="E37" s="1" t="str">
        <f t="shared" si="2"/>
        <v>木村　蓮</v>
      </c>
      <c r="F37" s="1" t="str">
        <f t="shared" si="3"/>
        <v>2024/06/15</v>
      </c>
      <c r="G37" s="1" t="str">
        <f t="shared" si="4"/>
        <v>有限会社光陽産業</v>
      </c>
      <c r="H37" s="1">
        <f t="shared" si="5"/>
        <v>88000</v>
      </c>
      <c r="I37" s="1" t="str">
        <f t="shared" si="6"/>
        <v>試作品費用</v>
      </c>
    </row>
    <row r="38" spans="1:9">
      <c r="A38" s="4" t="str" cm="1">
        <f t="array" ref="A38">IFERROR(INDEX(貼付シート!$B$1:$B$10000,SMALL(貼付シート!$A$1:$A$10000,B38)),"")</f>
        <v>003000 EMP-00303 木村　蓮　　　　　　　 2024/06/22 合同会社みらい技研　　　　　　　     147000 評価試験費　　　　　　</v>
      </c>
      <c r="B38" s="1">
        <v>37</v>
      </c>
      <c r="C38" s="1" t="str">
        <f t="shared" si="0"/>
        <v>003000</v>
      </c>
      <c r="D38" s="1" t="str">
        <f t="shared" si="1"/>
        <v>EMP-00303</v>
      </c>
      <c r="E38" s="1" t="str">
        <f t="shared" si="2"/>
        <v>木村　蓮</v>
      </c>
      <c r="F38" s="1" t="str">
        <f t="shared" si="3"/>
        <v>2024/06/22</v>
      </c>
      <c r="G38" s="1" t="str">
        <f t="shared" si="4"/>
        <v>合同会社みらい技研</v>
      </c>
      <c r="H38" s="1">
        <f t="shared" si="5"/>
        <v>147000</v>
      </c>
      <c r="I38" s="1" t="str">
        <f t="shared" si="6"/>
        <v>評価試験費</v>
      </c>
    </row>
    <row r="39" spans="1:9">
      <c r="A39" s="4" t="str" cm="1">
        <f t="array" ref="A39">IFERROR(INDEX(貼付シート!$B$1:$B$10000,SMALL(貼付シート!$A$1:$A$10000,B39)),"")</f>
        <v>003000 EMP-00303 木村　蓮　　　　　　　 2024/06/28 株式会社千代田電機　　　　　　　      42000 端子台発注　　　　　　</v>
      </c>
      <c r="B39" s="1">
        <v>38</v>
      </c>
      <c r="C39" s="1" t="str">
        <f t="shared" si="0"/>
        <v>003000</v>
      </c>
      <c r="D39" s="1" t="str">
        <f t="shared" si="1"/>
        <v>EMP-00303</v>
      </c>
      <c r="E39" s="1" t="str">
        <f t="shared" si="2"/>
        <v>木村　蓮</v>
      </c>
      <c r="F39" s="1" t="str">
        <f t="shared" si="3"/>
        <v>2024/06/28</v>
      </c>
      <c r="G39" s="1" t="str">
        <f t="shared" si="4"/>
        <v>株式会社千代田電機</v>
      </c>
      <c r="H39" s="1">
        <f t="shared" si="5"/>
        <v>42000</v>
      </c>
      <c r="I39" s="1" t="str">
        <f t="shared" si="6"/>
        <v>端子台発注</v>
      </c>
    </row>
    <row r="40" spans="1:9">
      <c r="A40" s="4" t="str" cm="1">
        <f t="array" ref="A40">IFERROR(INDEX(貼付シート!$B$1:$B$10000,SMALL(貼付シート!$A$1:$A$10000,B40)),"")</f>
        <v>004000 EMP-00401 加藤　雄大　　　　　　 2024/06/02 株式会社三河鉄工　　　　　　　　     520000 鋼材仕入　　　　　　　</v>
      </c>
      <c r="B40" s="1">
        <v>39</v>
      </c>
      <c r="C40" s="1" t="str">
        <f t="shared" si="0"/>
        <v>004000</v>
      </c>
      <c r="D40" s="1" t="str">
        <f t="shared" si="1"/>
        <v>EMP-00401</v>
      </c>
      <c r="E40" s="1" t="str">
        <f t="shared" si="2"/>
        <v>加藤　雄大</v>
      </c>
      <c r="F40" s="1" t="str">
        <f t="shared" si="3"/>
        <v>2024/06/02</v>
      </c>
      <c r="G40" s="1" t="str">
        <f t="shared" si="4"/>
        <v>株式会社三河鉄工</v>
      </c>
      <c r="H40" s="1">
        <f t="shared" si="5"/>
        <v>520000</v>
      </c>
      <c r="I40" s="1" t="str">
        <f t="shared" si="6"/>
        <v>鋼材仕入</v>
      </c>
    </row>
    <row r="41" spans="1:9">
      <c r="A41" s="4" t="str" cm="1">
        <f t="array" ref="A41">IFERROR(INDEX(貼付シート!$B$1:$B$10000,SMALL(貼付シート!$A$1:$A$10000,B41)),"")</f>
        <v>004000 EMP-00401 加藤　雄大　　　　　　 2024/06/07 有限会社富士化学工業　　　　　　     183000 溶剤購入　　　　　　　</v>
      </c>
      <c r="B41" s="1">
        <v>40</v>
      </c>
      <c r="C41" s="1" t="str">
        <f t="shared" si="0"/>
        <v>004000</v>
      </c>
      <c r="D41" s="1" t="str">
        <f t="shared" si="1"/>
        <v>EMP-00401</v>
      </c>
      <c r="E41" s="1" t="str">
        <f t="shared" si="2"/>
        <v>加藤　雄大</v>
      </c>
      <c r="F41" s="1" t="str">
        <f t="shared" si="3"/>
        <v>2024/06/07</v>
      </c>
      <c r="G41" s="1" t="str">
        <f t="shared" si="4"/>
        <v>有限会社富士化学工業</v>
      </c>
      <c r="H41" s="1">
        <f t="shared" si="5"/>
        <v>183000</v>
      </c>
      <c r="I41" s="1" t="str">
        <f t="shared" si="6"/>
        <v>溶剤購入</v>
      </c>
    </row>
    <row r="42" spans="1:9">
      <c r="A42" s="4" t="str" cm="1">
        <f t="array" ref="A42">IFERROR(INDEX(貼付シート!$B$1:$B$10000,SMALL(貼付シート!$A$1:$A$10000,B42)),"")</f>
        <v>004000 EMP-00401 加藤　雄大　　　　　　 2024/06/14 株式会社三河鉄工　　　　　　　　     275000 特殊鋼材追加　　　　　</v>
      </c>
      <c r="B42" s="1">
        <v>41</v>
      </c>
      <c r="C42" s="1" t="str">
        <f t="shared" si="0"/>
        <v>004000</v>
      </c>
      <c r="D42" s="1" t="str">
        <f t="shared" si="1"/>
        <v>EMP-00401</v>
      </c>
      <c r="E42" s="1" t="str">
        <f t="shared" si="2"/>
        <v>加藤　雄大</v>
      </c>
      <c r="F42" s="1" t="str">
        <f t="shared" si="3"/>
        <v>2024/06/14</v>
      </c>
      <c r="G42" s="1" t="str">
        <f t="shared" si="4"/>
        <v>株式会社三河鉄工</v>
      </c>
      <c r="H42" s="1">
        <f t="shared" si="5"/>
        <v>275000</v>
      </c>
      <c r="I42" s="1" t="str">
        <f t="shared" si="6"/>
        <v>特殊鋼材追加</v>
      </c>
    </row>
    <row r="43" spans="1:9">
      <c r="A43" s="4" t="str" cm="1">
        <f t="array" ref="A43">IFERROR(INDEX(貼付シート!$B$1:$B$10000,SMALL(貼付シート!$A$1:$A$10000,B43)),"")</f>
        <v>004000 EMP-00401 加藤　雄大　　　　　　 2024/06/21 合同会社精密工機　　　　　　　　     148000 切削工具　　　　　　　</v>
      </c>
      <c r="B43" s="1">
        <v>42</v>
      </c>
      <c r="C43" s="1" t="str">
        <f t="shared" si="0"/>
        <v>004000</v>
      </c>
      <c r="D43" s="1" t="str">
        <f t="shared" si="1"/>
        <v>EMP-00401</v>
      </c>
      <c r="E43" s="1" t="str">
        <f t="shared" si="2"/>
        <v>加藤　雄大</v>
      </c>
      <c r="F43" s="1" t="str">
        <f t="shared" si="3"/>
        <v>2024/06/21</v>
      </c>
      <c r="G43" s="1" t="str">
        <f t="shared" si="4"/>
        <v>合同会社精密工機</v>
      </c>
      <c r="H43" s="1">
        <f t="shared" si="5"/>
        <v>148000</v>
      </c>
      <c r="I43" s="1" t="str">
        <f t="shared" si="6"/>
        <v>切削工具</v>
      </c>
    </row>
    <row r="44" spans="1:9">
      <c r="A44" s="4" t="str" cm="1">
        <f t="array" ref="A44">IFERROR(INDEX(貼付シート!$B$1:$B$10000,SMALL(貼付シート!$A$1:$A$10000,B44)),"")</f>
        <v>004000 EMP-00401 加藤　雄大　　　　　　 2024/06/27 有限会社富士化学工業　　　　　　      92000 塗料購入　　　　　　　</v>
      </c>
      <c r="B44" s="1">
        <v>43</v>
      </c>
      <c r="C44" s="1" t="str">
        <f t="shared" si="0"/>
        <v>004000</v>
      </c>
      <c r="D44" s="1" t="str">
        <f t="shared" si="1"/>
        <v>EMP-00401</v>
      </c>
      <c r="E44" s="1" t="str">
        <f t="shared" si="2"/>
        <v>加藤　雄大</v>
      </c>
      <c r="F44" s="1" t="str">
        <f t="shared" si="3"/>
        <v>2024/06/27</v>
      </c>
      <c r="G44" s="1" t="str">
        <f t="shared" si="4"/>
        <v>有限会社富士化学工業</v>
      </c>
      <c r="H44" s="1">
        <f t="shared" si="5"/>
        <v>92000</v>
      </c>
      <c r="I44" s="1" t="str">
        <f t="shared" si="6"/>
        <v>塗料購入</v>
      </c>
    </row>
    <row r="45" spans="1:9">
      <c r="A45" s="4" t="str" cm="1">
        <f t="array" ref="A45">IFERROR(INDEX(貼付シート!$B$1:$B$10000,SMALL(貼付シート!$A$1:$A$10000,B45)),"")</f>
        <v>004000 EMP-00402 林　　美穂　　　　　　 2024/06/04 株式会社三河鉄工　　　　　　　　     310000 アルミ材仕入　　　　　</v>
      </c>
      <c r="B45" s="1">
        <v>44</v>
      </c>
      <c r="C45" s="1" t="str">
        <f t="shared" si="0"/>
        <v>004000</v>
      </c>
      <c r="D45" s="1" t="str">
        <f t="shared" si="1"/>
        <v>EMP-00402</v>
      </c>
      <c r="E45" s="1" t="str">
        <f t="shared" si="2"/>
        <v>林　美穂</v>
      </c>
      <c r="F45" s="1" t="str">
        <f t="shared" si="3"/>
        <v>2024/06/04</v>
      </c>
      <c r="G45" s="1" t="str">
        <f t="shared" si="4"/>
        <v>株式会社三河鉄工</v>
      </c>
      <c r="H45" s="1">
        <f t="shared" si="5"/>
        <v>310000</v>
      </c>
      <c r="I45" s="1" t="str">
        <f t="shared" si="6"/>
        <v>アルミ材仕入</v>
      </c>
    </row>
    <row r="46" spans="1:9">
      <c r="A46" s="4" t="str" cm="1">
        <f t="array" ref="A46">IFERROR(INDEX(貼付シート!$B$1:$B$10000,SMALL(貼付シート!$A$1:$A$10000,B46)),"")</f>
        <v>004000 EMP-00402 林　　美穂　　　　　　 2024/06/12 合同会社精密工機　　　　　　　　     225000 研磨機部品　　　　　　</v>
      </c>
      <c r="B46" s="1">
        <v>45</v>
      </c>
      <c r="C46" s="1" t="str">
        <f t="shared" si="0"/>
        <v>004000</v>
      </c>
      <c r="D46" s="1" t="str">
        <f t="shared" si="1"/>
        <v>EMP-00402</v>
      </c>
      <c r="E46" s="1" t="str">
        <f t="shared" si="2"/>
        <v>林　美穂</v>
      </c>
      <c r="F46" s="1" t="str">
        <f t="shared" si="3"/>
        <v>2024/06/12</v>
      </c>
      <c r="G46" s="1" t="str">
        <f t="shared" si="4"/>
        <v>合同会社精密工機</v>
      </c>
      <c r="H46" s="1">
        <f t="shared" si="5"/>
        <v>225000</v>
      </c>
      <c r="I46" s="1" t="str">
        <f t="shared" si="6"/>
        <v>研磨機部品</v>
      </c>
    </row>
    <row r="47" spans="1:9">
      <c r="A47" s="4" t="str" cm="1">
        <f t="array" ref="A47">IFERROR(INDEX(貼付シート!$B$1:$B$10000,SMALL(貼付シート!$A$1:$A$10000,B47)),"")</f>
        <v>004000 EMP-00402 林　　美穂　　　　　　 2024/06/19 有限会社富士化学工業　　　　　　      67000 接着剤発注　　　　　　</v>
      </c>
      <c r="B47" s="1">
        <v>46</v>
      </c>
      <c r="C47" s="1" t="str">
        <f t="shared" si="0"/>
        <v>004000</v>
      </c>
      <c r="D47" s="1" t="str">
        <f t="shared" si="1"/>
        <v>EMP-00402</v>
      </c>
      <c r="E47" s="1" t="str">
        <f t="shared" si="2"/>
        <v>林　美穂</v>
      </c>
      <c r="F47" s="1" t="str">
        <f t="shared" si="3"/>
        <v>2024/06/19</v>
      </c>
      <c r="G47" s="1" t="str">
        <f t="shared" si="4"/>
        <v>有限会社富士化学工業</v>
      </c>
      <c r="H47" s="1">
        <f t="shared" si="5"/>
        <v>67000</v>
      </c>
      <c r="I47" s="1" t="str">
        <f t="shared" si="6"/>
        <v>接着剤発注</v>
      </c>
    </row>
    <row r="48" spans="1:9">
      <c r="A48" s="4" t="str" cm="1">
        <f t="array" ref="A48">IFERROR(INDEX(貼付シート!$B$1:$B$10000,SMALL(貼付シート!$A$1:$A$10000,B48)),"")</f>
        <v>004000 EMP-00402 林　　美穂　　　　　　 2024/06/25 株式会社三河鉄工　　　　　　　　     158000 ステンレス材　　　　　</v>
      </c>
      <c r="B48" s="1">
        <v>47</v>
      </c>
      <c r="C48" s="1" t="str">
        <f t="shared" si="0"/>
        <v>004000</v>
      </c>
      <c r="D48" s="1" t="str">
        <f t="shared" si="1"/>
        <v>EMP-00402</v>
      </c>
      <c r="E48" s="1" t="str">
        <f t="shared" si="2"/>
        <v>林　美穂</v>
      </c>
      <c r="F48" s="1" t="str">
        <f t="shared" si="3"/>
        <v>2024/06/25</v>
      </c>
      <c r="G48" s="1" t="str">
        <f t="shared" si="4"/>
        <v>株式会社三河鉄工</v>
      </c>
      <c r="H48" s="1">
        <f t="shared" si="5"/>
        <v>158000</v>
      </c>
      <c r="I48" s="1" t="str">
        <f t="shared" si="6"/>
        <v>ステンレス材</v>
      </c>
    </row>
    <row r="49" spans="1:9">
      <c r="A49" s="4" t="str" cm="1">
        <f t="array" ref="A49">IFERROR(INDEX(貼付シート!$B$1:$B$10000,SMALL(貼付シート!$A$1:$A$10000,B49)),"")</f>
        <v>004000 EMP-00403 斎藤　陽介　　　　　　 2024/06/06 合同会社精密工機　　　　　　　　     430000 旋盤刃物交換　　　　　</v>
      </c>
      <c r="B49" s="1">
        <v>48</v>
      </c>
      <c r="C49" s="1" t="str">
        <f t="shared" si="0"/>
        <v>004000</v>
      </c>
      <c r="D49" s="1" t="str">
        <f t="shared" si="1"/>
        <v>EMP-00403</v>
      </c>
      <c r="E49" s="1" t="str">
        <f t="shared" si="2"/>
        <v>斎藤　陽介</v>
      </c>
      <c r="F49" s="1" t="str">
        <f t="shared" si="3"/>
        <v>2024/06/06</v>
      </c>
      <c r="G49" s="1" t="str">
        <f t="shared" si="4"/>
        <v>合同会社精密工機</v>
      </c>
      <c r="H49" s="1">
        <f t="shared" si="5"/>
        <v>430000</v>
      </c>
      <c r="I49" s="1" t="str">
        <f t="shared" si="6"/>
        <v>旋盤刃物交換</v>
      </c>
    </row>
    <row r="50" spans="1:9">
      <c r="A50" s="4" t="str" cm="1">
        <f t="array" ref="A50">IFERROR(INDEX(貼付シート!$B$1:$B$10000,SMALL(貼付シート!$A$1:$A$10000,B50)),"")</f>
        <v>004000 EMP-00403 斎藤　陽介　　　　　　 2024/06/13 株式会社三河鉄工　　　　　　　　     195000 銅材仕入　　　　　　　</v>
      </c>
      <c r="B50" s="1">
        <v>49</v>
      </c>
      <c r="C50" s="1" t="str">
        <f t="shared" si="0"/>
        <v>004000</v>
      </c>
      <c r="D50" s="1" t="str">
        <f t="shared" si="1"/>
        <v>EMP-00403</v>
      </c>
      <c r="E50" s="1" t="str">
        <f t="shared" si="2"/>
        <v>斎藤　陽介</v>
      </c>
      <c r="F50" s="1" t="str">
        <f t="shared" si="3"/>
        <v>2024/06/13</v>
      </c>
      <c r="G50" s="1" t="str">
        <f t="shared" si="4"/>
        <v>株式会社三河鉄工</v>
      </c>
      <c r="H50" s="1">
        <f t="shared" si="5"/>
        <v>195000</v>
      </c>
      <c r="I50" s="1" t="str">
        <f t="shared" si="6"/>
        <v>銅材仕入</v>
      </c>
    </row>
    <row r="51" spans="1:9">
      <c r="A51" s="4" t="str" cm="1">
        <f t="array" ref="A51">IFERROR(INDEX(貼付シート!$B$1:$B$10000,SMALL(貼付シート!$A$1:$A$10000,B51)),"")</f>
        <v>004000 EMP-00403 斎藤　陽介　　　　　　 2024/06/18 有限会社富士化学工業　　　　　　     114000 防錆剤購入　　　　　　</v>
      </c>
      <c r="B51" s="1">
        <v>50</v>
      </c>
      <c r="C51" s="1" t="str">
        <f t="shared" si="0"/>
        <v>004000</v>
      </c>
      <c r="D51" s="1" t="str">
        <f t="shared" si="1"/>
        <v>EMP-00403</v>
      </c>
      <c r="E51" s="1" t="str">
        <f t="shared" si="2"/>
        <v>斎藤　陽介</v>
      </c>
      <c r="F51" s="1" t="str">
        <f t="shared" si="3"/>
        <v>2024/06/18</v>
      </c>
      <c r="G51" s="1" t="str">
        <f t="shared" si="4"/>
        <v>有限会社富士化学工業</v>
      </c>
      <c r="H51" s="1">
        <f t="shared" si="5"/>
        <v>114000</v>
      </c>
      <c r="I51" s="1" t="str">
        <f t="shared" si="6"/>
        <v>防錆剤購入</v>
      </c>
    </row>
    <row r="52" spans="1:9">
      <c r="A52" s="4" t="str" cm="1">
        <f t="array" ref="A52">IFERROR(INDEX(貼付シート!$B$1:$B$10000,SMALL(貼付シート!$A$1:$A$10000,B52)),"")</f>
        <v>004000 EMP-00403 斎藤　陽介　　　　　　 2024/06/26 合同会社精密工機　　　　　　　　      76000 測定器校正　　　　　　</v>
      </c>
      <c r="B52" s="1">
        <v>51</v>
      </c>
      <c r="C52" s="1" t="str">
        <f t="shared" si="0"/>
        <v>004000</v>
      </c>
      <c r="D52" s="1" t="str">
        <f t="shared" si="1"/>
        <v>EMP-00403</v>
      </c>
      <c r="E52" s="1" t="str">
        <f t="shared" si="2"/>
        <v>斎藤　陽介</v>
      </c>
      <c r="F52" s="1" t="str">
        <f t="shared" si="3"/>
        <v>2024/06/26</v>
      </c>
      <c r="G52" s="1" t="str">
        <f t="shared" si="4"/>
        <v>合同会社精密工機</v>
      </c>
      <c r="H52" s="1">
        <f t="shared" si="5"/>
        <v>76000</v>
      </c>
      <c r="I52" s="1" t="str">
        <f t="shared" si="6"/>
        <v>測定器校正</v>
      </c>
    </row>
    <row r="53" spans="1:9">
      <c r="A53" s="4" t="str" cm="1">
        <f t="array" ref="A53">IFERROR(INDEX(貼付シート!$B$1:$B$10000,SMALL(貼付シート!$A$1:$A$10000,B53)),"")</f>
        <v>004000 EMP-00404 清水　結衣　　　　　　 2024/06/09 株式会社三河鉄工　　　　　　　　     265000 合金材仕入　　　　　　</v>
      </c>
      <c r="B53" s="1">
        <v>52</v>
      </c>
      <c r="C53" s="1" t="str">
        <f t="shared" si="0"/>
        <v>004000</v>
      </c>
      <c r="D53" s="1" t="str">
        <f t="shared" si="1"/>
        <v>EMP-00404</v>
      </c>
      <c r="E53" s="1" t="str">
        <f t="shared" si="2"/>
        <v>清水　結衣</v>
      </c>
      <c r="F53" s="1" t="str">
        <f t="shared" si="3"/>
        <v>2024/06/09</v>
      </c>
      <c r="G53" s="1" t="str">
        <f t="shared" si="4"/>
        <v>株式会社三河鉄工</v>
      </c>
      <c r="H53" s="1">
        <f t="shared" si="5"/>
        <v>265000</v>
      </c>
      <c r="I53" s="1" t="str">
        <f t="shared" si="6"/>
        <v>合金材仕入</v>
      </c>
    </row>
    <row r="54" spans="1:9">
      <c r="A54" s="4" t="str" cm="1">
        <f t="array" ref="A54">IFERROR(INDEX(貼付シート!$B$1:$B$10000,SMALL(貼付シート!$A$1:$A$10000,B54)),"")</f>
        <v>004000 EMP-00404 清水　結衣　　　　　　 2024/06/16 有限会社富士化学工業　　　　　　      53000 洗浄液発注　　　　　　</v>
      </c>
      <c r="B54" s="1">
        <v>53</v>
      </c>
      <c r="C54" s="1" t="str">
        <f t="shared" si="0"/>
        <v>004000</v>
      </c>
      <c r="D54" s="1" t="str">
        <f t="shared" si="1"/>
        <v>EMP-00404</v>
      </c>
      <c r="E54" s="1" t="str">
        <f t="shared" si="2"/>
        <v>清水　結衣</v>
      </c>
      <c r="F54" s="1" t="str">
        <f t="shared" si="3"/>
        <v>2024/06/16</v>
      </c>
      <c r="G54" s="1" t="str">
        <f t="shared" si="4"/>
        <v>有限会社富士化学工業</v>
      </c>
      <c r="H54" s="1">
        <f t="shared" si="5"/>
        <v>53000</v>
      </c>
      <c r="I54" s="1" t="str">
        <f t="shared" si="6"/>
        <v>洗浄液発注</v>
      </c>
    </row>
    <row r="55" spans="1:9">
      <c r="A55" s="4" t="str" cm="1">
        <f t="array" ref="A55">IFERROR(INDEX(貼付シート!$B$1:$B$10000,SMALL(貼付シート!$A$1:$A$10000,B55)),"")</f>
        <v>004000 EMP-00404 清水　結衣　　　　　　 2024/06/23 合同会社精密工機　　　　　　　　     188000 プレス金型修理　　　　</v>
      </c>
      <c r="B55" s="1">
        <v>54</v>
      </c>
      <c r="C55" s="1" t="str">
        <f t="shared" si="0"/>
        <v>004000</v>
      </c>
      <c r="D55" s="1" t="str">
        <f t="shared" si="1"/>
        <v>EMP-00404</v>
      </c>
      <c r="E55" s="1" t="str">
        <f t="shared" si="2"/>
        <v>清水　結衣</v>
      </c>
      <c r="F55" s="1" t="str">
        <f t="shared" si="3"/>
        <v>2024/06/23</v>
      </c>
      <c r="G55" s="1" t="str">
        <f t="shared" si="4"/>
        <v>合同会社精密工機</v>
      </c>
      <c r="H55" s="1">
        <f t="shared" si="5"/>
        <v>188000</v>
      </c>
      <c r="I55" s="1" t="str">
        <f t="shared" si="6"/>
        <v>プレス金型修理</v>
      </c>
    </row>
    <row r="56" spans="1:9">
      <c r="A56" s="4" t="str" cm="1">
        <f t="array" ref="A56">IFERROR(INDEX(貼付シート!$B$1:$B$10000,SMALL(貼付シート!$A$1:$A$10000,B56)),"")</f>
        <v>004000 EMP-00404 清水　結衣　　　　　　 2024/06/30 株式会社三河鉄工　　　　　　　　     342000 チタン材仕入　　　　　</v>
      </c>
      <c r="B56" s="1">
        <v>55</v>
      </c>
      <c r="C56" s="1" t="str">
        <f t="shared" si="0"/>
        <v>004000</v>
      </c>
      <c r="D56" s="1" t="str">
        <f t="shared" si="1"/>
        <v>EMP-00404</v>
      </c>
      <c r="E56" s="1" t="str">
        <f t="shared" si="2"/>
        <v>清水　結衣</v>
      </c>
      <c r="F56" s="1" t="str">
        <f t="shared" si="3"/>
        <v>2024/06/30</v>
      </c>
      <c r="G56" s="1" t="str">
        <f t="shared" si="4"/>
        <v>株式会社三河鉄工</v>
      </c>
      <c r="H56" s="1">
        <f t="shared" si="5"/>
        <v>342000</v>
      </c>
      <c r="I56" s="1" t="str">
        <f t="shared" si="6"/>
        <v>チタン材仕入</v>
      </c>
    </row>
    <row r="57" spans="1:9">
      <c r="A57" s="4" t="str" cm="1">
        <f t="array" ref="A57">IFERROR(INDEX(貼付シート!$B$1:$B$10000,SMALL(貼付シート!$A$1:$A$10000,B57)),"")</f>
        <v>005000 EMP-00501 山口　直樹　　　　　　 2024/06/03 税理士法人青山会計　　　　　　　     350000 顧問料　　　　　　　　</v>
      </c>
      <c r="B57" s="1">
        <v>56</v>
      </c>
      <c r="C57" s="1" t="str">
        <f t="shared" si="0"/>
        <v>005000</v>
      </c>
      <c r="D57" s="1" t="str">
        <f t="shared" si="1"/>
        <v>EMP-00501</v>
      </c>
      <c r="E57" s="1" t="str">
        <f t="shared" si="2"/>
        <v>山口　直樹</v>
      </c>
      <c r="F57" s="1" t="str">
        <f t="shared" si="3"/>
        <v>2024/06/03</v>
      </c>
      <c r="G57" s="1" t="str">
        <f t="shared" si="4"/>
        <v>税理士法人青山会計</v>
      </c>
      <c r="H57" s="1">
        <f t="shared" si="5"/>
        <v>350000</v>
      </c>
      <c r="I57" s="1" t="str">
        <f t="shared" si="6"/>
        <v>顧問料</v>
      </c>
    </row>
    <row r="58" spans="1:9">
      <c r="A58" s="4" t="str" cm="1">
        <f t="array" ref="A58">IFERROR(INDEX(貼付シート!$B$1:$B$10000,SMALL(貼付シート!$A$1:$A$10000,B58)),"")</f>
        <v>005000 EMP-00501 山口　直樹　　　　　　 2024/06/10 株式会社日本信用調査　　　　　　      85000 信用調査費　　　　　　</v>
      </c>
      <c r="B58" s="1">
        <v>57</v>
      </c>
      <c r="C58" s="1" t="str">
        <f t="shared" si="0"/>
        <v>005000</v>
      </c>
      <c r="D58" s="1" t="str">
        <f t="shared" si="1"/>
        <v>EMP-00501</v>
      </c>
      <c r="E58" s="1" t="str">
        <f t="shared" si="2"/>
        <v>山口　直樹</v>
      </c>
      <c r="F58" s="1" t="str">
        <f t="shared" si="3"/>
        <v>2024/06/10</v>
      </c>
      <c r="G58" s="1" t="str">
        <f t="shared" si="4"/>
        <v>株式会社日本信用調査</v>
      </c>
      <c r="H58" s="1">
        <f t="shared" si="5"/>
        <v>85000</v>
      </c>
      <c r="I58" s="1" t="str">
        <f t="shared" si="6"/>
        <v>信用調査費</v>
      </c>
    </row>
    <row r="59" spans="1:9">
      <c r="A59" s="4" t="str" cm="1">
        <f t="array" ref="A59">IFERROR(INDEX(貼付シート!$B$1:$B$10000,SMALL(貼付シート!$A$1:$A$10000,B59)),"")</f>
        <v>005000 EMP-00501 山口　直樹　　　　　　 2024/06/17 合同会社オフィスサポート　　　　      46000 複合機リース料　　　　</v>
      </c>
      <c r="B59" s="1">
        <v>58</v>
      </c>
      <c r="C59" s="1" t="str">
        <f t="shared" si="0"/>
        <v>005000</v>
      </c>
      <c r="D59" s="1" t="str">
        <f t="shared" si="1"/>
        <v>EMP-00501</v>
      </c>
      <c r="E59" s="1" t="str">
        <f t="shared" si="2"/>
        <v>山口　直樹</v>
      </c>
      <c r="F59" s="1" t="str">
        <f t="shared" si="3"/>
        <v>2024/06/17</v>
      </c>
      <c r="G59" s="1" t="str">
        <f t="shared" si="4"/>
        <v>合同会社オフィスサポート</v>
      </c>
      <c r="H59" s="1">
        <f t="shared" si="5"/>
        <v>46000</v>
      </c>
      <c r="I59" s="1" t="str">
        <f t="shared" si="6"/>
        <v>複合機リース料</v>
      </c>
    </row>
    <row r="60" spans="1:9">
      <c r="A60" s="4" t="str" cm="1">
        <f t="array" ref="A60">IFERROR(INDEX(貼付シート!$B$1:$B$10000,SMALL(貼付シート!$A$1:$A$10000,B60)),"")</f>
        <v>005000 EMP-00501 山口　直樹　　　　　　 2024/06/24 税理士法人青山会計　　　　　　　     120000 決算書類作成　　　　　</v>
      </c>
      <c r="B60" s="1">
        <v>59</v>
      </c>
      <c r="C60" s="1" t="str">
        <f t="shared" si="0"/>
        <v>005000</v>
      </c>
      <c r="D60" s="1" t="str">
        <f t="shared" si="1"/>
        <v>EMP-00501</v>
      </c>
      <c r="E60" s="1" t="str">
        <f t="shared" si="2"/>
        <v>山口　直樹</v>
      </c>
      <c r="F60" s="1" t="str">
        <f t="shared" si="3"/>
        <v>2024/06/24</v>
      </c>
      <c r="G60" s="1" t="str">
        <f t="shared" si="4"/>
        <v>税理士法人青山会計</v>
      </c>
      <c r="H60" s="1">
        <f t="shared" si="5"/>
        <v>120000</v>
      </c>
      <c r="I60" s="1" t="str">
        <f t="shared" si="6"/>
        <v>決算書類作成</v>
      </c>
    </row>
    <row r="61" spans="1:9">
      <c r="A61" s="4" t="str" cm="1">
        <f t="array" ref="A61">IFERROR(INDEX(貼付シート!$B$1:$B$10000,SMALL(貼付シート!$A$1:$A$10000,B61)),"")</f>
        <v>005000 EMP-00502 前田　琴音　　　　　　 2024/06/05 株式会社日本信用調査　　　　　　      72000 企業情報照会　　　　　</v>
      </c>
      <c r="B61" s="1">
        <v>60</v>
      </c>
      <c r="C61" s="1" t="str">
        <f t="shared" si="0"/>
        <v>005000</v>
      </c>
      <c r="D61" s="1" t="str">
        <f t="shared" si="1"/>
        <v>EMP-00502</v>
      </c>
      <c r="E61" s="1" t="str">
        <f t="shared" si="2"/>
        <v>前田　琴音</v>
      </c>
      <c r="F61" s="1" t="str">
        <f t="shared" si="3"/>
        <v>2024/06/05</v>
      </c>
      <c r="G61" s="1" t="str">
        <f t="shared" si="4"/>
        <v>株式会社日本信用調査</v>
      </c>
      <c r="H61" s="1">
        <f t="shared" si="5"/>
        <v>72000</v>
      </c>
      <c r="I61" s="1" t="str">
        <f t="shared" si="6"/>
        <v>企業情報照会</v>
      </c>
    </row>
    <row r="62" spans="1:9">
      <c r="A62" s="4" t="str" cm="1">
        <f t="array" ref="A62">IFERROR(INDEX(貼付シート!$B$1:$B$10000,SMALL(貼付シート!$A$1:$A$10000,B62)),"")</f>
        <v>005000 EMP-00502 前田　琴音　　　　　　 2024/06/12 合同会社オフィスサポート　　　　      38000 シュレッダーリース　　</v>
      </c>
      <c r="B62" s="1">
        <v>61</v>
      </c>
      <c r="C62" s="1" t="str">
        <f t="shared" si="0"/>
        <v>005000</v>
      </c>
      <c r="D62" s="1" t="str">
        <f t="shared" si="1"/>
        <v>EMP-00502</v>
      </c>
      <c r="E62" s="1" t="str">
        <f t="shared" si="2"/>
        <v>前田　琴音</v>
      </c>
      <c r="F62" s="1" t="str">
        <f t="shared" si="3"/>
        <v>2024/06/12</v>
      </c>
      <c r="G62" s="1" t="str">
        <f t="shared" si="4"/>
        <v>合同会社オフィスサポート</v>
      </c>
      <c r="H62" s="1">
        <f t="shared" si="5"/>
        <v>38000</v>
      </c>
      <c r="I62" s="1" t="str">
        <f t="shared" si="6"/>
        <v>シュレッダーリース</v>
      </c>
    </row>
    <row r="63" spans="1:9">
      <c r="A63" s="4" t="str" cm="1">
        <f t="array" ref="A63">IFERROR(INDEX(貼付シート!$B$1:$B$10000,SMALL(貼付シート!$A$1:$A$10000,B63)),"")</f>
        <v>005000 EMP-00502 前田　琴音　　　　　　 2024/06/19 税理士法人青山会計　　　　　　　      95000 税務相談料　　　　　　</v>
      </c>
      <c r="B63" s="1">
        <v>62</v>
      </c>
      <c r="C63" s="1" t="str">
        <f t="shared" si="0"/>
        <v>005000</v>
      </c>
      <c r="D63" s="1" t="str">
        <f t="shared" si="1"/>
        <v>EMP-00502</v>
      </c>
      <c r="E63" s="1" t="str">
        <f t="shared" si="2"/>
        <v>前田　琴音</v>
      </c>
      <c r="F63" s="1" t="str">
        <f t="shared" si="3"/>
        <v>2024/06/19</v>
      </c>
      <c r="G63" s="1" t="str">
        <f t="shared" si="4"/>
        <v>税理士法人青山会計</v>
      </c>
      <c r="H63" s="1">
        <f t="shared" si="5"/>
        <v>95000</v>
      </c>
      <c r="I63" s="1" t="str">
        <f t="shared" si="6"/>
        <v>税務相談料</v>
      </c>
    </row>
    <row r="64" spans="1:9">
      <c r="A64" s="4" t="str" cm="1">
        <f t="array" ref="A64">IFERROR(INDEX(貼付シート!$B$1:$B$10000,SMALL(貼付シート!$A$1:$A$10000,B64)),"")</f>
        <v>005000 EMP-00502 前田　琴音　　　　　　 2024/06/27 株式会社日本信用調査　　　　　　     160000 与信審査費　　　　　　</v>
      </c>
      <c r="B64" s="1">
        <v>63</v>
      </c>
      <c r="C64" s="1" t="str">
        <f t="shared" si="0"/>
        <v>005000</v>
      </c>
      <c r="D64" s="1" t="str">
        <f t="shared" si="1"/>
        <v>EMP-00502</v>
      </c>
      <c r="E64" s="1" t="str">
        <f t="shared" si="2"/>
        <v>前田　琴音</v>
      </c>
      <c r="F64" s="1" t="str">
        <f t="shared" si="3"/>
        <v>2024/06/27</v>
      </c>
      <c r="G64" s="1" t="str">
        <f t="shared" si="4"/>
        <v>株式会社日本信用調査</v>
      </c>
      <c r="H64" s="1">
        <f t="shared" si="5"/>
        <v>160000</v>
      </c>
      <c r="I64" s="1" t="str">
        <f t="shared" si="6"/>
        <v>与信審査費</v>
      </c>
    </row>
    <row r="65" spans="1:9">
      <c r="A65" s="4" t="str" cm="1">
        <f t="array" ref="A65">IFERROR(INDEX(貼付シート!$B$1:$B$10000,SMALL(貼付シート!$A$1:$A$10000,B65)),"")</f>
        <v>005000 EMP-00503 藤田　悠人　　　　　　 2024/06/06 合同会社オフィスサポート　　　　      29000 トナー購入　　　　　　</v>
      </c>
      <c r="B65" s="1">
        <v>64</v>
      </c>
      <c r="C65" s="1" t="str">
        <f t="shared" si="0"/>
        <v>005000</v>
      </c>
      <c r="D65" s="1" t="str">
        <f t="shared" si="1"/>
        <v>EMP-00503</v>
      </c>
      <c r="E65" s="1" t="str">
        <f t="shared" si="2"/>
        <v>藤田　悠人</v>
      </c>
      <c r="F65" s="1" t="str">
        <f t="shared" si="3"/>
        <v>2024/06/06</v>
      </c>
      <c r="G65" s="1" t="str">
        <f t="shared" si="4"/>
        <v>合同会社オフィスサポート</v>
      </c>
      <c r="H65" s="1">
        <f t="shared" si="5"/>
        <v>29000</v>
      </c>
      <c r="I65" s="1" t="str">
        <f t="shared" si="6"/>
        <v>トナー購入</v>
      </c>
    </row>
    <row r="66" spans="1:9">
      <c r="A66" s="4" t="str" cm="1">
        <f t="array" ref="A66">IFERROR(INDEX(貼付シート!$B$1:$B$10000,SMALL(貼付シート!$A$1:$A$10000,B66)),"")</f>
        <v>005000 EMP-00503 藤田　悠人　　　　　　 2024/06/14 税理士法人青山会計　　　　　　　     210000 中間監査対応　　　　　</v>
      </c>
      <c r="B66" s="1">
        <v>65</v>
      </c>
      <c r="C66" s="1" t="str">
        <f t="shared" si="0"/>
        <v>005000</v>
      </c>
      <c r="D66" s="1" t="str">
        <f t="shared" si="1"/>
        <v>EMP-00503</v>
      </c>
      <c r="E66" s="1" t="str">
        <f t="shared" si="2"/>
        <v>藤田　悠人</v>
      </c>
      <c r="F66" s="1" t="str">
        <f t="shared" si="3"/>
        <v>2024/06/14</v>
      </c>
      <c r="G66" s="1" t="str">
        <f t="shared" si="4"/>
        <v>税理士法人青山会計</v>
      </c>
      <c r="H66" s="1">
        <f t="shared" si="5"/>
        <v>210000</v>
      </c>
      <c r="I66" s="1" t="str">
        <f t="shared" si="6"/>
        <v>中間監査対応</v>
      </c>
    </row>
    <row r="67" spans="1:9">
      <c r="A67" s="4" t="str" cm="1">
        <f t="array" ref="A67">IFERROR(INDEX(貼付シート!$B$1:$B$10000,SMALL(貼付シート!$A$1:$A$10000,B67)),"")</f>
        <v>005000 EMP-00503 藤田　悠人　　　　　　 2024/06/20 株式会社日本信用調査　　　　　　      55000 反社チェック費　　　　</v>
      </c>
      <c r="B67" s="1">
        <v>66</v>
      </c>
      <c r="C67" s="1" t="str">
        <f t="shared" ref="C67:C130" si="7">MIDB(A67,1,6)</f>
        <v>005000</v>
      </c>
      <c r="D67" s="1" t="str">
        <f t="shared" ref="D67:D130" si="8">MIDB(A67,8,9)</f>
        <v>EMP-00503</v>
      </c>
      <c r="E67" s="1" t="str">
        <f t="shared" ref="E67:E130" si="9">TRIM(MIDB(A67,18,23))</f>
        <v>藤田　悠人</v>
      </c>
      <c r="F67" s="1" t="str">
        <f t="shared" ref="F67:F130" si="10">MIDB(A67,41,10)</f>
        <v>2024/06/20</v>
      </c>
      <c r="G67" s="1" t="str">
        <f t="shared" ref="G67:G130" si="11">TRIM(MIDB(A67,52,35))</f>
        <v>株式会社日本信用調査</v>
      </c>
      <c r="H67" s="1">
        <f t="shared" ref="H67:H130" si="12">VALUE(TRIM(MIDB(A67,85,10)))</f>
        <v>55000</v>
      </c>
      <c r="I67" s="1" t="str">
        <f t="shared" ref="I67:I130" si="13">TRIM(MIDB(A67,96,25))</f>
        <v>反社チェック費</v>
      </c>
    </row>
    <row r="68" spans="1:9">
      <c r="A68" s="4" t="str" cm="1">
        <f t="array" ref="A68">IFERROR(INDEX(貼付シート!$B$1:$B$10000,SMALL(貼付シート!$A$1:$A$10000,B68)),"")</f>
        <v>005000 EMP-00503 藤田　悠人　　　　　　 2024/06/28 合同会社オフィスサポート　　　　      82000 書類保管サービス　　　</v>
      </c>
      <c r="B68" s="1">
        <v>67</v>
      </c>
      <c r="C68" s="1" t="str">
        <f t="shared" si="7"/>
        <v>005000</v>
      </c>
      <c r="D68" s="1" t="str">
        <f t="shared" si="8"/>
        <v>EMP-00503</v>
      </c>
      <c r="E68" s="1" t="str">
        <f t="shared" si="9"/>
        <v>藤田　悠人</v>
      </c>
      <c r="F68" s="1" t="str">
        <f t="shared" si="10"/>
        <v>2024/06/28</v>
      </c>
      <c r="G68" s="1" t="str">
        <f t="shared" si="11"/>
        <v>合同会社オフィスサポート</v>
      </c>
      <c r="H68" s="1">
        <f t="shared" si="12"/>
        <v>82000</v>
      </c>
      <c r="I68" s="1" t="str">
        <f t="shared" si="13"/>
        <v>書類保管サービス</v>
      </c>
    </row>
    <row r="69" spans="1:9">
      <c r="A69" s="4" t="str" cm="1">
        <f t="array" ref="A69">IFERROR(INDEX(貼付シート!$B$1:$B$10000,SMALL(貼付シート!$A$1:$A$10000,B69)),"")</f>
        <v>005000 EMP-00504 岡田　七海　　　　　　 2024/06/08 税理士法人青山会計　　　　　　　     175000 年末調整委託　　　　　</v>
      </c>
      <c r="B69" s="1">
        <v>68</v>
      </c>
      <c r="C69" s="1" t="str">
        <f t="shared" si="7"/>
        <v>005000</v>
      </c>
      <c r="D69" s="1" t="str">
        <f t="shared" si="8"/>
        <v>EMP-00504</v>
      </c>
      <c r="E69" s="1" t="str">
        <f t="shared" si="9"/>
        <v>岡田　七海</v>
      </c>
      <c r="F69" s="1" t="str">
        <f t="shared" si="10"/>
        <v>2024/06/08</v>
      </c>
      <c r="G69" s="1" t="str">
        <f t="shared" si="11"/>
        <v>税理士法人青山会計</v>
      </c>
      <c r="H69" s="1">
        <f t="shared" si="12"/>
        <v>175000</v>
      </c>
      <c r="I69" s="1" t="str">
        <f t="shared" si="13"/>
        <v>年末調整委託</v>
      </c>
    </row>
    <row r="70" spans="1:9">
      <c r="A70" s="4" t="str" cm="1">
        <f t="array" ref="A70">IFERROR(INDEX(貼付シート!$B$1:$B$10000,SMALL(貼付シート!$A$1:$A$10000,B70)),"")</f>
        <v>005000 EMP-00504 岡田　七海　　　　　　 2024/06/15 株式会社日本信用調査　　　　　　      63000 登記簿取得代行　　　　</v>
      </c>
      <c r="B70" s="1">
        <v>69</v>
      </c>
      <c r="C70" s="1" t="str">
        <f t="shared" si="7"/>
        <v>005000</v>
      </c>
      <c r="D70" s="1" t="str">
        <f t="shared" si="8"/>
        <v>EMP-00504</v>
      </c>
      <c r="E70" s="1" t="str">
        <f t="shared" si="9"/>
        <v>岡田　七海</v>
      </c>
      <c r="F70" s="1" t="str">
        <f t="shared" si="10"/>
        <v>2024/06/15</v>
      </c>
      <c r="G70" s="1" t="str">
        <f t="shared" si="11"/>
        <v>株式会社日本信用調査</v>
      </c>
      <c r="H70" s="1">
        <f t="shared" si="12"/>
        <v>63000</v>
      </c>
      <c r="I70" s="1" t="str">
        <f t="shared" si="13"/>
        <v>登記簿取得代行</v>
      </c>
    </row>
    <row r="71" spans="1:9">
      <c r="A71" s="4" t="str" cm="1">
        <f t="array" ref="A71">IFERROR(INDEX(貼付シート!$B$1:$B$10000,SMALL(貼付シート!$A$1:$A$10000,B71)),"")</f>
        <v>005000 EMP-00504 岡田　七海　　　　　　 2024/06/22 合同会社オフィスサポート　　　　      41000 事務机リース料　　　　</v>
      </c>
      <c r="B71" s="1">
        <v>70</v>
      </c>
      <c r="C71" s="1" t="str">
        <f t="shared" si="7"/>
        <v>005000</v>
      </c>
      <c r="D71" s="1" t="str">
        <f t="shared" si="8"/>
        <v>EMP-00504</v>
      </c>
      <c r="E71" s="1" t="str">
        <f t="shared" si="9"/>
        <v>岡田　七海</v>
      </c>
      <c r="F71" s="1" t="str">
        <f t="shared" si="10"/>
        <v>2024/06/22</v>
      </c>
      <c r="G71" s="1" t="str">
        <f t="shared" si="11"/>
        <v>合同会社オフィスサポート</v>
      </c>
      <c r="H71" s="1">
        <f t="shared" si="12"/>
        <v>41000</v>
      </c>
      <c r="I71" s="1" t="str">
        <f t="shared" si="13"/>
        <v>事務机リース料</v>
      </c>
    </row>
    <row r="72" spans="1:9">
      <c r="A72" s="4" t="str" cm="1">
        <f t="array" ref="A72">IFERROR(INDEX(貼付シート!$B$1:$B$10000,SMALL(貼付シート!$A$1:$A$10000,B72)),"")</f>
        <v/>
      </c>
      <c r="B72" s="1">
        <v>71</v>
      </c>
      <c r="C72" s="1" t="str">
        <f t="shared" si="7"/>
        <v/>
      </c>
      <c r="D72" s="1" t="str">
        <f t="shared" si="8"/>
        <v/>
      </c>
      <c r="E72" s="1" t="str">
        <f t="shared" si="9"/>
        <v/>
      </c>
      <c r="F72" s="1" t="str">
        <f t="shared" si="10"/>
        <v/>
      </c>
      <c r="G72" s="1" t="str">
        <f t="shared" si="11"/>
        <v/>
      </c>
      <c r="H72" s="1" t="e">
        <f t="shared" si="12"/>
        <v>#VALUE!</v>
      </c>
      <c r="I72" s="1" t="str">
        <f t="shared" si="13"/>
        <v/>
      </c>
    </row>
    <row r="73" spans="1:9">
      <c r="A73" s="4" t="str" cm="1">
        <f t="array" ref="A73">IFERROR(INDEX(貼付シート!$B$1:$B$10000,SMALL(貼付シート!$A$1:$A$10000,B73)),"")</f>
        <v/>
      </c>
      <c r="B73" s="1">
        <v>72</v>
      </c>
      <c r="C73" s="1" t="str">
        <f t="shared" si="7"/>
        <v/>
      </c>
      <c r="D73" s="1" t="str">
        <f t="shared" si="8"/>
        <v/>
      </c>
      <c r="E73" s="1" t="str">
        <f t="shared" si="9"/>
        <v/>
      </c>
      <c r="F73" s="1" t="str">
        <f t="shared" si="10"/>
        <v/>
      </c>
      <c r="G73" s="1" t="str">
        <f t="shared" si="11"/>
        <v/>
      </c>
      <c r="H73" s="1" t="e">
        <f t="shared" si="12"/>
        <v>#VALUE!</v>
      </c>
      <c r="I73" s="1" t="str">
        <f t="shared" si="13"/>
        <v/>
      </c>
    </row>
    <row r="74" spans="1:9">
      <c r="A74" s="4" t="str" cm="1">
        <f t="array" ref="A74">IFERROR(INDEX(貼付シート!$B$1:$B$10000,SMALL(貼付シート!$A$1:$A$10000,B74)),"")</f>
        <v/>
      </c>
      <c r="B74" s="1">
        <v>73</v>
      </c>
      <c r="C74" s="1" t="str">
        <f t="shared" si="7"/>
        <v/>
      </c>
      <c r="D74" s="1" t="str">
        <f t="shared" si="8"/>
        <v/>
      </c>
      <c r="E74" s="1" t="str">
        <f t="shared" si="9"/>
        <v/>
      </c>
      <c r="F74" s="1" t="str">
        <f t="shared" si="10"/>
        <v/>
      </c>
      <c r="G74" s="1" t="str">
        <f t="shared" si="11"/>
        <v/>
      </c>
      <c r="H74" s="1" t="e">
        <f t="shared" si="12"/>
        <v>#VALUE!</v>
      </c>
      <c r="I74" s="1" t="str">
        <f t="shared" si="13"/>
        <v/>
      </c>
    </row>
    <row r="75" spans="1:9">
      <c r="A75" s="4" t="str" cm="1">
        <f t="array" ref="A75">IFERROR(INDEX(貼付シート!$B$1:$B$10000,SMALL(貼付シート!$A$1:$A$10000,B75)),"")</f>
        <v/>
      </c>
      <c r="B75" s="1">
        <v>74</v>
      </c>
      <c r="C75" s="1" t="str">
        <f t="shared" si="7"/>
        <v/>
      </c>
      <c r="D75" s="1" t="str">
        <f t="shared" si="8"/>
        <v/>
      </c>
      <c r="E75" s="1" t="str">
        <f t="shared" si="9"/>
        <v/>
      </c>
      <c r="F75" s="1" t="str">
        <f t="shared" si="10"/>
        <v/>
      </c>
      <c r="G75" s="1" t="str">
        <f t="shared" si="11"/>
        <v/>
      </c>
      <c r="H75" s="1" t="e">
        <f t="shared" si="12"/>
        <v>#VALUE!</v>
      </c>
      <c r="I75" s="1" t="str">
        <f t="shared" si="13"/>
        <v/>
      </c>
    </row>
    <row r="76" spans="1:9">
      <c r="A76" s="4" t="str" cm="1">
        <f t="array" ref="A76">IFERROR(INDEX(貼付シート!$B$1:$B$10000,SMALL(貼付シート!$A$1:$A$10000,B76)),"")</f>
        <v/>
      </c>
      <c r="B76" s="1">
        <v>75</v>
      </c>
      <c r="C76" s="1" t="str">
        <f t="shared" si="7"/>
        <v/>
      </c>
      <c r="D76" s="1" t="str">
        <f t="shared" si="8"/>
        <v/>
      </c>
      <c r="E76" s="1" t="str">
        <f t="shared" si="9"/>
        <v/>
      </c>
      <c r="F76" s="1" t="str">
        <f t="shared" si="10"/>
        <v/>
      </c>
      <c r="G76" s="1" t="str">
        <f t="shared" si="11"/>
        <v/>
      </c>
      <c r="H76" s="1" t="e">
        <f t="shared" si="12"/>
        <v>#VALUE!</v>
      </c>
      <c r="I76" s="1" t="str">
        <f t="shared" si="13"/>
        <v/>
      </c>
    </row>
    <row r="77" spans="1:9">
      <c r="A77" s="4" t="str" cm="1">
        <f t="array" ref="A77">IFERROR(INDEX(貼付シート!$B$1:$B$10000,SMALL(貼付シート!$A$1:$A$10000,B77)),"")</f>
        <v/>
      </c>
      <c r="B77" s="1">
        <v>76</v>
      </c>
      <c r="C77" s="1" t="str">
        <f t="shared" si="7"/>
        <v/>
      </c>
      <c r="D77" s="1" t="str">
        <f t="shared" si="8"/>
        <v/>
      </c>
      <c r="E77" s="1" t="str">
        <f t="shared" si="9"/>
        <v/>
      </c>
      <c r="F77" s="1" t="str">
        <f t="shared" si="10"/>
        <v/>
      </c>
      <c r="G77" s="1" t="str">
        <f t="shared" si="11"/>
        <v/>
      </c>
      <c r="H77" s="1" t="e">
        <f t="shared" si="12"/>
        <v>#VALUE!</v>
      </c>
      <c r="I77" s="1" t="str">
        <f t="shared" si="13"/>
        <v/>
      </c>
    </row>
    <row r="78" spans="1:9">
      <c r="A78" s="4" t="str" cm="1">
        <f t="array" ref="A78">IFERROR(INDEX(貼付シート!$B$1:$B$10000,SMALL(貼付シート!$A$1:$A$10000,B78)),"")</f>
        <v/>
      </c>
      <c r="B78" s="1">
        <v>77</v>
      </c>
      <c r="C78" s="1" t="str">
        <f t="shared" si="7"/>
        <v/>
      </c>
      <c r="D78" s="1" t="str">
        <f t="shared" si="8"/>
        <v/>
      </c>
      <c r="E78" s="1" t="str">
        <f t="shared" si="9"/>
        <v/>
      </c>
      <c r="F78" s="1" t="str">
        <f t="shared" si="10"/>
        <v/>
      </c>
      <c r="G78" s="1" t="str">
        <f t="shared" si="11"/>
        <v/>
      </c>
      <c r="H78" s="1" t="e">
        <f t="shared" si="12"/>
        <v>#VALUE!</v>
      </c>
      <c r="I78" s="1" t="str">
        <f t="shared" si="13"/>
        <v/>
      </c>
    </row>
    <row r="79" spans="1:9">
      <c r="A79" s="4" t="str" cm="1">
        <f t="array" ref="A79">IFERROR(INDEX(貼付シート!$B$1:$B$10000,SMALL(貼付シート!$A$1:$A$10000,B79)),"")</f>
        <v/>
      </c>
      <c r="B79" s="1">
        <v>78</v>
      </c>
      <c r="C79" s="1" t="str">
        <f t="shared" si="7"/>
        <v/>
      </c>
      <c r="D79" s="1" t="str">
        <f t="shared" si="8"/>
        <v/>
      </c>
      <c r="E79" s="1" t="str">
        <f t="shared" si="9"/>
        <v/>
      </c>
      <c r="F79" s="1" t="str">
        <f t="shared" si="10"/>
        <v/>
      </c>
      <c r="G79" s="1" t="str">
        <f t="shared" si="11"/>
        <v/>
      </c>
      <c r="H79" s="1" t="e">
        <f t="shared" si="12"/>
        <v>#VALUE!</v>
      </c>
      <c r="I79" s="1" t="str">
        <f t="shared" si="13"/>
        <v/>
      </c>
    </row>
    <row r="80" spans="1:9">
      <c r="A80" s="4" t="str" cm="1">
        <f t="array" ref="A80">IFERROR(INDEX(貼付シート!$B$1:$B$10000,SMALL(貼付シート!$A$1:$A$10000,B80)),"")</f>
        <v/>
      </c>
      <c r="B80" s="1">
        <v>79</v>
      </c>
      <c r="C80" s="1" t="str">
        <f t="shared" si="7"/>
        <v/>
      </c>
      <c r="D80" s="1" t="str">
        <f t="shared" si="8"/>
        <v/>
      </c>
      <c r="E80" s="1" t="str">
        <f t="shared" si="9"/>
        <v/>
      </c>
      <c r="F80" s="1" t="str">
        <f t="shared" si="10"/>
        <v/>
      </c>
      <c r="G80" s="1" t="str">
        <f t="shared" si="11"/>
        <v/>
      </c>
      <c r="H80" s="1" t="e">
        <f t="shared" si="12"/>
        <v>#VALUE!</v>
      </c>
      <c r="I80" s="1" t="str">
        <f t="shared" si="13"/>
        <v/>
      </c>
    </row>
    <row r="81" spans="1:9">
      <c r="A81" s="4" t="str" cm="1">
        <f t="array" ref="A81">IFERROR(INDEX(貼付シート!$B$1:$B$10000,SMALL(貼付シート!$A$1:$A$10000,B81)),"")</f>
        <v/>
      </c>
      <c r="B81" s="1">
        <v>80</v>
      </c>
      <c r="C81" s="1" t="str">
        <f t="shared" si="7"/>
        <v/>
      </c>
      <c r="D81" s="1" t="str">
        <f t="shared" si="8"/>
        <v/>
      </c>
      <c r="E81" s="1" t="str">
        <f t="shared" si="9"/>
        <v/>
      </c>
      <c r="F81" s="1" t="str">
        <f t="shared" si="10"/>
        <v/>
      </c>
      <c r="G81" s="1" t="str">
        <f t="shared" si="11"/>
        <v/>
      </c>
      <c r="H81" s="1" t="e">
        <f t="shared" si="12"/>
        <v>#VALUE!</v>
      </c>
      <c r="I81" s="1" t="str">
        <f t="shared" si="13"/>
        <v/>
      </c>
    </row>
    <row r="82" spans="1:9">
      <c r="A82" s="4" t="str" cm="1">
        <f t="array" ref="A82">IFERROR(INDEX(貼付シート!$B$1:$B$10000,SMALL(貼付シート!$A$1:$A$10000,B82)),"")</f>
        <v/>
      </c>
      <c r="B82" s="1">
        <v>81</v>
      </c>
      <c r="C82" s="1" t="str">
        <f t="shared" si="7"/>
        <v/>
      </c>
      <c r="D82" s="1" t="str">
        <f t="shared" si="8"/>
        <v/>
      </c>
      <c r="E82" s="1" t="str">
        <f t="shared" si="9"/>
        <v/>
      </c>
      <c r="F82" s="1" t="str">
        <f t="shared" si="10"/>
        <v/>
      </c>
      <c r="G82" s="1" t="str">
        <f t="shared" si="11"/>
        <v/>
      </c>
      <c r="H82" s="1" t="e">
        <f t="shared" si="12"/>
        <v>#VALUE!</v>
      </c>
      <c r="I82" s="1" t="str">
        <f t="shared" si="13"/>
        <v/>
      </c>
    </row>
    <row r="83" spans="1:9">
      <c r="A83" s="4" t="str" cm="1">
        <f t="array" ref="A83">IFERROR(INDEX(貼付シート!$B$1:$B$10000,SMALL(貼付シート!$A$1:$A$10000,B83)),"")</f>
        <v/>
      </c>
      <c r="B83" s="1">
        <v>82</v>
      </c>
      <c r="C83" s="1" t="str">
        <f t="shared" si="7"/>
        <v/>
      </c>
      <c r="D83" s="1" t="str">
        <f t="shared" si="8"/>
        <v/>
      </c>
      <c r="E83" s="1" t="str">
        <f t="shared" si="9"/>
        <v/>
      </c>
      <c r="F83" s="1" t="str">
        <f t="shared" si="10"/>
        <v/>
      </c>
      <c r="G83" s="1" t="str">
        <f t="shared" si="11"/>
        <v/>
      </c>
      <c r="H83" s="1" t="e">
        <f t="shared" si="12"/>
        <v>#VALUE!</v>
      </c>
      <c r="I83" s="1" t="str">
        <f t="shared" si="13"/>
        <v/>
      </c>
    </row>
    <row r="84" spans="1:9">
      <c r="A84" s="4" t="str" cm="1">
        <f t="array" ref="A84">IFERROR(INDEX(貼付シート!$B$1:$B$10000,SMALL(貼付シート!$A$1:$A$10000,B84)),"")</f>
        <v/>
      </c>
      <c r="B84" s="1">
        <v>83</v>
      </c>
      <c r="C84" s="1" t="str">
        <f t="shared" si="7"/>
        <v/>
      </c>
      <c r="D84" s="1" t="str">
        <f t="shared" si="8"/>
        <v/>
      </c>
      <c r="E84" s="1" t="str">
        <f t="shared" si="9"/>
        <v/>
      </c>
      <c r="F84" s="1" t="str">
        <f t="shared" si="10"/>
        <v/>
      </c>
      <c r="G84" s="1" t="str">
        <f t="shared" si="11"/>
        <v/>
      </c>
      <c r="H84" s="1" t="e">
        <f t="shared" si="12"/>
        <v>#VALUE!</v>
      </c>
      <c r="I84" s="1" t="str">
        <f t="shared" si="13"/>
        <v/>
      </c>
    </row>
    <row r="85" spans="1:9">
      <c r="A85" s="4" t="str" cm="1">
        <f t="array" ref="A85">IFERROR(INDEX(貼付シート!$B$1:$B$10000,SMALL(貼付シート!$A$1:$A$10000,B85)),"")</f>
        <v/>
      </c>
      <c r="B85" s="1">
        <v>84</v>
      </c>
      <c r="C85" s="1" t="str">
        <f t="shared" si="7"/>
        <v/>
      </c>
      <c r="D85" s="1" t="str">
        <f t="shared" si="8"/>
        <v/>
      </c>
      <c r="E85" s="1" t="str">
        <f t="shared" si="9"/>
        <v/>
      </c>
      <c r="F85" s="1" t="str">
        <f t="shared" si="10"/>
        <v/>
      </c>
      <c r="G85" s="1" t="str">
        <f t="shared" si="11"/>
        <v/>
      </c>
      <c r="H85" s="1" t="e">
        <f t="shared" si="12"/>
        <v>#VALUE!</v>
      </c>
      <c r="I85" s="1" t="str">
        <f t="shared" si="13"/>
        <v/>
      </c>
    </row>
    <row r="86" spans="1:9">
      <c r="A86" s="4" t="str" cm="1">
        <f t="array" ref="A86">IFERROR(INDEX(貼付シート!$B$1:$B$10000,SMALL(貼付シート!$A$1:$A$10000,B86)),"")</f>
        <v/>
      </c>
      <c r="B86" s="1">
        <v>85</v>
      </c>
      <c r="C86" s="1" t="str">
        <f t="shared" si="7"/>
        <v/>
      </c>
      <c r="D86" s="1" t="str">
        <f t="shared" si="8"/>
        <v/>
      </c>
      <c r="E86" s="1" t="str">
        <f t="shared" si="9"/>
        <v/>
      </c>
      <c r="F86" s="1" t="str">
        <f t="shared" si="10"/>
        <v/>
      </c>
      <c r="G86" s="1" t="str">
        <f t="shared" si="11"/>
        <v/>
      </c>
      <c r="H86" s="1" t="e">
        <f t="shared" si="12"/>
        <v>#VALUE!</v>
      </c>
      <c r="I86" s="1" t="str">
        <f t="shared" si="13"/>
        <v/>
      </c>
    </row>
    <row r="87" spans="1:9">
      <c r="A87" s="4" t="str" cm="1">
        <f t="array" ref="A87">IFERROR(INDEX(貼付シート!$B$1:$B$10000,SMALL(貼付シート!$A$1:$A$10000,B87)),"")</f>
        <v/>
      </c>
      <c r="B87" s="1">
        <v>86</v>
      </c>
      <c r="C87" s="1" t="str">
        <f t="shared" si="7"/>
        <v/>
      </c>
      <c r="D87" s="1" t="str">
        <f t="shared" si="8"/>
        <v/>
      </c>
      <c r="E87" s="1" t="str">
        <f t="shared" si="9"/>
        <v/>
      </c>
      <c r="F87" s="1" t="str">
        <f t="shared" si="10"/>
        <v/>
      </c>
      <c r="G87" s="1" t="str">
        <f t="shared" si="11"/>
        <v/>
      </c>
      <c r="H87" s="1" t="e">
        <f t="shared" si="12"/>
        <v>#VALUE!</v>
      </c>
      <c r="I87" s="1" t="str">
        <f t="shared" si="13"/>
        <v/>
      </c>
    </row>
    <row r="88" spans="1:9">
      <c r="A88" s="4" t="str" cm="1">
        <f t="array" ref="A88">IFERROR(INDEX(貼付シート!$B$1:$B$10000,SMALL(貼付シート!$A$1:$A$10000,B88)),"")</f>
        <v/>
      </c>
      <c r="B88" s="1">
        <v>87</v>
      </c>
      <c r="C88" s="1" t="str">
        <f t="shared" si="7"/>
        <v/>
      </c>
      <c r="D88" s="1" t="str">
        <f t="shared" si="8"/>
        <v/>
      </c>
      <c r="E88" s="1" t="str">
        <f t="shared" si="9"/>
        <v/>
      </c>
      <c r="F88" s="1" t="str">
        <f t="shared" si="10"/>
        <v/>
      </c>
      <c r="G88" s="1" t="str">
        <f t="shared" si="11"/>
        <v/>
      </c>
      <c r="H88" s="1" t="e">
        <f t="shared" si="12"/>
        <v>#VALUE!</v>
      </c>
      <c r="I88" s="1" t="str">
        <f t="shared" si="13"/>
        <v/>
      </c>
    </row>
    <row r="89" spans="1:9">
      <c r="A89" s="4" t="str" cm="1">
        <f t="array" ref="A89">IFERROR(INDEX(貼付シート!$B$1:$B$10000,SMALL(貼付シート!$A$1:$A$10000,B89)),"")</f>
        <v/>
      </c>
      <c r="B89" s="1">
        <v>88</v>
      </c>
      <c r="C89" s="1" t="str">
        <f t="shared" si="7"/>
        <v/>
      </c>
      <c r="D89" s="1" t="str">
        <f t="shared" si="8"/>
        <v/>
      </c>
      <c r="E89" s="1" t="str">
        <f t="shared" si="9"/>
        <v/>
      </c>
      <c r="F89" s="1" t="str">
        <f t="shared" si="10"/>
        <v/>
      </c>
      <c r="G89" s="1" t="str">
        <f t="shared" si="11"/>
        <v/>
      </c>
      <c r="H89" s="1" t="e">
        <f t="shared" si="12"/>
        <v>#VALUE!</v>
      </c>
      <c r="I89" s="1" t="str">
        <f t="shared" si="13"/>
        <v/>
      </c>
    </row>
    <row r="90" spans="1:9">
      <c r="A90" s="4" t="str" cm="1">
        <f t="array" ref="A90">IFERROR(INDEX(貼付シート!$B$1:$B$10000,SMALL(貼付シート!$A$1:$A$10000,B90)),"")</f>
        <v/>
      </c>
      <c r="B90" s="1">
        <v>89</v>
      </c>
      <c r="C90" s="1" t="str">
        <f t="shared" si="7"/>
        <v/>
      </c>
      <c r="D90" s="1" t="str">
        <f t="shared" si="8"/>
        <v/>
      </c>
      <c r="E90" s="1" t="str">
        <f t="shared" si="9"/>
        <v/>
      </c>
      <c r="F90" s="1" t="str">
        <f t="shared" si="10"/>
        <v/>
      </c>
      <c r="G90" s="1" t="str">
        <f t="shared" si="11"/>
        <v/>
      </c>
      <c r="H90" s="1" t="e">
        <f t="shared" si="12"/>
        <v>#VALUE!</v>
      </c>
      <c r="I90" s="1" t="str">
        <f t="shared" si="13"/>
        <v/>
      </c>
    </row>
    <row r="91" spans="1:9">
      <c r="A91" s="4" t="str" cm="1">
        <f t="array" ref="A91">IFERROR(INDEX(貼付シート!$B$1:$B$10000,SMALL(貼付シート!$A$1:$A$10000,B91)),"")</f>
        <v/>
      </c>
      <c r="B91" s="1">
        <v>90</v>
      </c>
      <c r="C91" s="1" t="str">
        <f t="shared" si="7"/>
        <v/>
      </c>
      <c r="D91" s="1" t="str">
        <f t="shared" si="8"/>
        <v/>
      </c>
      <c r="E91" s="1" t="str">
        <f t="shared" si="9"/>
        <v/>
      </c>
      <c r="F91" s="1" t="str">
        <f t="shared" si="10"/>
        <v/>
      </c>
      <c r="G91" s="1" t="str">
        <f t="shared" si="11"/>
        <v/>
      </c>
      <c r="H91" s="1" t="e">
        <f t="shared" si="12"/>
        <v>#VALUE!</v>
      </c>
      <c r="I91" s="1" t="str">
        <f t="shared" si="13"/>
        <v/>
      </c>
    </row>
    <row r="92" spans="1:9">
      <c r="A92" s="4" t="str" cm="1">
        <f t="array" ref="A92">IFERROR(INDEX(貼付シート!$B$1:$B$10000,SMALL(貼付シート!$A$1:$A$10000,B92)),"")</f>
        <v/>
      </c>
      <c r="B92" s="1">
        <v>91</v>
      </c>
      <c r="C92" s="1" t="str">
        <f t="shared" si="7"/>
        <v/>
      </c>
      <c r="D92" s="1" t="str">
        <f t="shared" si="8"/>
        <v/>
      </c>
      <c r="E92" s="1" t="str">
        <f t="shared" si="9"/>
        <v/>
      </c>
      <c r="F92" s="1" t="str">
        <f t="shared" si="10"/>
        <v/>
      </c>
      <c r="G92" s="1" t="str">
        <f t="shared" si="11"/>
        <v/>
      </c>
      <c r="H92" s="1" t="e">
        <f t="shared" si="12"/>
        <v>#VALUE!</v>
      </c>
      <c r="I92" s="1" t="str">
        <f t="shared" si="13"/>
        <v/>
      </c>
    </row>
    <row r="93" spans="1:9">
      <c r="A93" s="4" t="str" cm="1">
        <f t="array" ref="A93">IFERROR(INDEX(貼付シート!$B$1:$B$10000,SMALL(貼付シート!$A$1:$A$10000,B93)),"")</f>
        <v/>
      </c>
      <c r="B93" s="1">
        <v>92</v>
      </c>
      <c r="C93" s="1" t="str">
        <f t="shared" si="7"/>
        <v/>
      </c>
      <c r="D93" s="1" t="str">
        <f t="shared" si="8"/>
        <v/>
      </c>
      <c r="E93" s="1" t="str">
        <f t="shared" si="9"/>
        <v/>
      </c>
      <c r="F93" s="1" t="str">
        <f t="shared" si="10"/>
        <v/>
      </c>
      <c r="G93" s="1" t="str">
        <f t="shared" si="11"/>
        <v/>
      </c>
      <c r="H93" s="1" t="e">
        <f t="shared" si="12"/>
        <v>#VALUE!</v>
      </c>
      <c r="I93" s="1" t="str">
        <f t="shared" si="13"/>
        <v/>
      </c>
    </row>
    <row r="94" spans="1:9">
      <c r="A94" s="4" t="str" cm="1">
        <f t="array" ref="A94">IFERROR(INDEX(貼付シート!$B$1:$B$10000,SMALL(貼付シート!$A$1:$A$10000,B94)),"")</f>
        <v/>
      </c>
      <c r="B94" s="1">
        <v>93</v>
      </c>
      <c r="C94" s="1" t="str">
        <f t="shared" si="7"/>
        <v/>
      </c>
      <c r="D94" s="1" t="str">
        <f t="shared" si="8"/>
        <v/>
      </c>
      <c r="E94" s="1" t="str">
        <f t="shared" si="9"/>
        <v/>
      </c>
      <c r="F94" s="1" t="str">
        <f t="shared" si="10"/>
        <v/>
      </c>
      <c r="G94" s="1" t="str">
        <f t="shared" si="11"/>
        <v/>
      </c>
      <c r="H94" s="1" t="e">
        <f t="shared" si="12"/>
        <v>#VALUE!</v>
      </c>
      <c r="I94" s="1" t="str">
        <f t="shared" si="13"/>
        <v/>
      </c>
    </row>
    <row r="95" spans="1:9">
      <c r="A95" s="4" t="str" cm="1">
        <f t="array" ref="A95">IFERROR(INDEX(貼付シート!$B$1:$B$10000,SMALL(貼付シート!$A$1:$A$10000,B95)),"")</f>
        <v/>
      </c>
      <c r="B95" s="1">
        <v>94</v>
      </c>
      <c r="C95" s="1" t="str">
        <f t="shared" si="7"/>
        <v/>
      </c>
      <c r="D95" s="1" t="str">
        <f t="shared" si="8"/>
        <v/>
      </c>
      <c r="E95" s="1" t="str">
        <f t="shared" si="9"/>
        <v/>
      </c>
      <c r="F95" s="1" t="str">
        <f t="shared" si="10"/>
        <v/>
      </c>
      <c r="G95" s="1" t="str">
        <f t="shared" si="11"/>
        <v/>
      </c>
      <c r="H95" s="1" t="e">
        <f t="shared" si="12"/>
        <v>#VALUE!</v>
      </c>
      <c r="I95" s="1" t="str">
        <f t="shared" si="13"/>
        <v/>
      </c>
    </row>
    <row r="96" spans="1:9">
      <c r="A96" s="4" t="str" cm="1">
        <f t="array" ref="A96">IFERROR(INDEX(貼付シート!$B$1:$B$10000,SMALL(貼付シート!$A$1:$A$10000,B96)),"")</f>
        <v/>
      </c>
      <c r="B96" s="1">
        <v>95</v>
      </c>
      <c r="C96" s="1" t="str">
        <f t="shared" si="7"/>
        <v/>
      </c>
      <c r="D96" s="1" t="str">
        <f t="shared" si="8"/>
        <v/>
      </c>
      <c r="E96" s="1" t="str">
        <f t="shared" si="9"/>
        <v/>
      </c>
      <c r="F96" s="1" t="str">
        <f t="shared" si="10"/>
        <v/>
      </c>
      <c r="G96" s="1" t="str">
        <f t="shared" si="11"/>
        <v/>
      </c>
      <c r="H96" s="1" t="e">
        <f t="shared" si="12"/>
        <v>#VALUE!</v>
      </c>
      <c r="I96" s="1" t="str">
        <f t="shared" si="13"/>
        <v/>
      </c>
    </row>
    <row r="97" spans="1:9">
      <c r="A97" s="4" t="str" cm="1">
        <f t="array" ref="A97">IFERROR(INDEX(貼付シート!$B$1:$B$10000,SMALL(貼付シート!$A$1:$A$10000,B97)),"")</f>
        <v/>
      </c>
      <c r="B97" s="1">
        <v>96</v>
      </c>
      <c r="C97" s="1" t="str">
        <f t="shared" si="7"/>
        <v/>
      </c>
      <c r="D97" s="1" t="str">
        <f t="shared" si="8"/>
        <v/>
      </c>
      <c r="E97" s="1" t="str">
        <f t="shared" si="9"/>
        <v/>
      </c>
      <c r="F97" s="1" t="str">
        <f t="shared" si="10"/>
        <v/>
      </c>
      <c r="G97" s="1" t="str">
        <f t="shared" si="11"/>
        <v/>
      </c>
      <c r="H97" s="1" t="e">
        <f t="shared" si="12"/>
        <v>#VALUE!</v>
      </c>
      <c r="I97" s="1" t="str">
        <f t="shared" si="13"/>
        <v/>
      </c>
    </row>
    <row r="98" spans="1:9">
      <c r="A98" s="4" t="str" cm="1">
        <f t="array" ref="A98">IFERROR(INDEX(貼付シート!$B$1:$B$10000,SMALL(貼付シート!$A$1:$A$10000,B98)),"")</f>
        <v/>
      </c>
      <c r="B98" s="1">
        <v>97</v>
      </c>
      <c r="C98" s="1" t="str">
        <f t="shared" si="7"/>
        <v/>
      </c>
      <c r="D98" s="1" t="str">
        <f t="shared" si="8"/>
        <v/>
      </c>
      <c r="E98" s="1" t="str">
        <f t="shared" si="9"/>
        <v/>
      </c>
      <c r="F98" s="1" t="str">
        <f t="shared" si="10"/>
        <v/>
      </c>
      <c r="G98" s="1" t="str">
        <f t="shared" si="11"/>
        <v/>
      </c>
      <c r="H98" s="1" t="e">
        <f t="shared" si="12"/>
        <v>#VALUE!</v>
      </c>
      <c r="I98" s="1" t="str">
        <f t="shared" si="13"/>
        <v/>
      </c>
    </row>
    <row r="99" spans="1:9">
      <c r="A99" s="4" t="str" cm="1">
        <f t="array" ref="A99">IFERROR(INDEX(貼付シート!$B$1:$B$10000,SMALL(貼付シート!$A$1:$A$10000,B99)),"")</f>
        <v/>
      </c>
      <c r="B99" s="1">
        <v>98</v>
      </c>
      <c r="C99" s="1" t="str">
        <f t="shared" si="7"/>
        <v/>
      </c>
      <c r="D99" s="1" t="str">
        <f t="shared" si="8"/>
        <v/>
      </c>
      <c r="E99" s="1" t="str">
        <f t="shared" si="9"/>
        <v/>
      </c>
      <c r="F99" s="1" t="str">
        <f t="shared" si="10"/>
        <v/>
      </c>
      <c r="G99" s="1" t="str">
        <f t="shared" si="11"/>
        <v/>
      </c>
      <c r="H99" s="1" t="e">
        <f t="shared" si="12"/>
        <v>#VALUE!</v>
      </c>
      <c r="I99" s="1" t="str">
        <f t="shared" si="13"/>
        <v/>
      </c>
    </row>
    <row r="100" spans="1:9">
      <c r="A100" s="4" t="str" cm="1">
        <f t="array" ref="A100">IFERROR(INDEX(貼付シート!$B$1:$B$10000,SMALL(貼付シート!$A$1:$A$10000,B100)),"")</f>
        <v/>
      </c>
      <c r="B100" s="1">
        <v>99</v>
      </c>
      <c r="C100" s="1" t="str">
        <f t="shared" si="7"/>
        <v/>
      </c>
      <c r="D100" s="1" t="str">
        <f t="shared" si="8"/>
        <v/>
      </c>
      <c r="E100" s="1" t="str">
        <f t="shared" si="9"/>
        <v/>
      </c>
      <c r="F100" s="1" t="str">
        <f t="shared" si="10"/>
        <v/>
      </c>
      <c r="G100" s="1" t="str">
        <f t="shared" si="11"/>
        <v/>
      </c>
      <c r="H100" s="1" t="e">
        <f t="shared" si="12"/>
        <v>#VALUE!</v>
      </c>
      <c r="I100" s="1" t="str">
        <f t="shared" si="13"/>
        <v/>
      </c>
    </row>
    <row r="101" spans="1:9">
      <c r="A101" s="4" t="str" cm="1">
        <f t="array" ref="A101">IFERROR(INDEX(貼付シート!$B$1:$B$10000,SMALL(貼付シート!$A$1:$A$10000,B101)),"")</f>
        <v/>
      </c>
      <c r="B101" s="1">
        <v>100</v>
      </c>
      <c r="C101" s="1" t="str">
        <f t="shared" si="7"/>
        <v/>
      </c>
      <c r="D101" s="1" t="str">
        <f t="shared" si="8"/>
        <v/>
      </c>
      <c r="E101" s="1" t="str">
        <f t="shared" si="9"/>
        <v/>
      </c>
      <c r="F101" s="1" t="str">
        <f t="shared" si="10"/>
        <v/>
      </c>
      <c r="G101" s="1" t="str">
        <f t="shared" si="11"/>
        <v/>
      </c>
      <c r="H101" s="1" t="e">
        <f t="shared" si="12"/>
        <v>#VALUE!</v>
      </c>
      <c r="I101" s="1" t="str">
        <f t="shared" si="13"/>
        <v/>
      </c>
    </row>
    <row r="102" spans="1:9">
      <c r="A102" s="4" t="str" cm="1">
        <f t="array" ref="A102">IFERROR(INDEX(貼付シート!$B$1:$B$10000,SMALL(貼付シート!$A$1:$A$10000,B102)),"")</f>
        <v/>
      </c>
      <c r="B102" s="1">
        <v>101</v>
      </c>
      <c r="C102" s="1" t="str">
        <f t="shared" si="7"/>
        <v/>
      </c>
      <c r="D102" s="1" t="str">
        <f t="shared" si="8"/>
        <v/>
      </c>
      <c r="E102" s="1" t="str">
        <f t="shared" si="9"/>
        <v/>
      </c>
      <c r="F102" s="1" t="str">
        <f t="shared" si="10"/>
        <v/>
      </c>
      <c r="G102" s="1" t="str">
        <f t="shared" si="11"/>
        <v/>
      </c>
      <c r="H102" s="1" t="e">
        <f t="shared" si="12"/>
        <v>#VALUE!</v>
      </c>
      <c r="I102" s="1" t="str">
        <f t="shared" si="13"/>
        <v/>
      </c>
    </row>
    <row r="103" spans="1:9">
      <c r="A103" s="4" t="str" cm="1">
        <f t="array" ref="A103">IFERROR(INDEX(貼付シート!$B$1:$B$10000,SMALL(貼付シート!$A$1:$A$10000,B103)),"")</f>
        <v/>
      </c>
      <c r="B103" s="1">
        <v>102</v>
      </c>
      <c r="C103" s="1" t="str">
        <f t="shared" si="7"/>
        <v/>
      </c>
      <c r="D103" s="1" t="str">
        <f t="shared" si="8"/>
        <v/>
      </c>
      <c r="E103" s="1" t="str">
        <f t="shared" si="9"/>
        <v/>
      </c>
      <c r="F103" s="1" t="str">
        <f t="shared" si="10"/>
        <v/>
      </c>
      <c r="G103" s="1" t="str">
        <f t="shared" si="11"/>
        <v/>
      </c>
      <c r="H103" s="1" t="e">
        <f t="shared" si="12"/>
        <v>#VALUE!</v>
      </c>
      <c r="I103" s="1" t="str">
        <f t="shared" si="13"/>
        <v/>
      </c>
    </row>
    <row r="104" spans="1:9">
      <c r="A104" s="4" t="str" cm="1">
        <f t="array" ref="A104">IFERROR(INDEX(貼付シート!$B$1:$B$10000,SMALL(貼付シート!$A$1:$A$10000,B104)),"")</f>
        <v/>
      </c>
      <c r="B104" s="1">
        <v>103</v>
      </c>
      <c r="C104" s="1" t="str">
        <f t="shared" si="7"/>
        <v/>
      </c>
      <c r="D104" s="1" t="str">
        <f t="shared" si="8"/>
        <v/>
      </c>
      <c r="E104" s="1" t="str">
        <f t="shared" si="9"/>
        <v/>
      </c>
      <c r="F104" s="1" t="str">
        <f t="shared" si="10"/>
        <v/>
      </c>
      <c r="G104" s="1" t="str">
        <f t="shared" si="11"/>
        <v/>
      </c>
      <c r="H104" s="1" t="e">
        <f t="shared" si="12"/>
        <v>#VALUE!</v>
      </c>
      <c r="I104" s="1" t="str">
        <f t="shared" si="13"/>
        <v/>
      </c>
    </row>
    <row r="105" spans="1:9">
      <c r="A105" s="4" t="str" cm="1">
        <f t="array" ref="A105">IFERROR(INDEX(貼付シート!$B$1:$B$10000,SMALL(貼付シート!$A$1:$A$10000,B105)),"")</f>
        <v/>
      </c>
      <c r="B105" s="1">
        <v>104</v>
      </c>
      <c r="C105" s="1" t="str">
        <f t="shared" si="7"/>
        <v/>
      </c>
      <c r="D105" s="1" t="str">
        <f t="shared" si="8"/>
        <v/>
      </c>
      <c r="E105" s="1" t="str">
        <f t="shared" si="9"/>
        <v/>
      </c>
      <c r="F105" s="1" t="str">
        <f t="shared" si="10"/>
        <v/>
      </c>
      <c r="G105" s="1" t="str">
        <f t="shared" si="11"/>
        <v/>
      </c>
      <c r="H105" s="1" t="e">
        <f t="shared" si="12"/>
        <v>#VALUE!</v>
      </c>
      <c r="I105" s="1" t="str">
        <f t="shared" si="13"/>
        <v/>
      </c>
    </row>
    <row r="106" spans="1:9">
      <c r="A106" s="4" t="str" cm="1">
        <f t="array" ref="A106">IFERROR(INDEX(貼付シート!$B$1:$B$10000,SMALL(貼付シート!$A$1:$A$10000,B106)),"")</f>
        <v/>
      </c>
      <c r="B106" s="1">
        <v>105</v>
      </c>
      <c r="C106" s="1" t="str">
        <f t="shared" si="7"/>
        <v/>
      </c>
      <c r="D106" s="1" t="str">
        <f t="shared" si="8"/>
        <v/>
      </c>
      <c r="E106" s="1" t="str">
        <f t="shared" si="9"/>
        <v/>
      </c>
      <c r="F106" s="1" t="str">
        <f t="shared" si="10"/>
        <v/>
      </c>
      <c r="G106" s="1" t="str">
        <f t="shared" si="11"/>
        <v/>
      </c>
      <c r="H106" s="1" t="e">
        <f t="shared" si="12"/>
        <v>#VALUE!</v>
      </c>
      <c r="I106" s="1" t="str">
        <f t="shared" si="13"/>
        <v/>
      </c>
    </row>
    <row r="107" spans="1:9">
      <c r="A107" s="4" t="str" cm="1">
        <f t="array" ref="A107">IFERROR(INDEX(貼付シート!$B$1:$B$10000,SMALL(貼付シート!$A$1:$A$10000,B107)),"")</f>
        <v/>
      </c>
      <c r="B107" s="1">
        <v>106</v>
      </c>
      <c r="C107" s="1" t="str">
        <f t="shared" si="7"/>
        <v/>
      </c>
      <c r="D107" s="1" t="str">
        <f t="shared" si="8"/>
        <v/>
      </c>
      <c r="E107" s="1" t="str">
        <f t="shared" si="9"/>
        <v/>
      </c>
      <c r="F107" s="1" t="str">
        <f t="shared" si="10"/>
        <v/>
      </c>
      <c r="G107" s="1" t="str">
        <f t="shared" si="11"/>
        <v/>
      </c>
      <c r="H107" s="1" t="e">
        <f t="shared" si="12"/>
        <v>#VALUE!</v>
      </c>
      <c r="I107" s="1" t="str">
        <f t="shared" si="13"/>
        <v/>
      </c>
    </row>
    <row r="108" spans="1:9">
      <c r="A108" s="4" t="str" cm="1">
        <f t="array" ref="A108">IFERROR(INDEX(貼付シート!$B$1:$B$10000,SMALL(貼付シート!$A$1:$A$10000,B108)),"")</f>
        <v/>
      </c>
      <c r="B108" s="1">
        <v>107</v>
      </c>
      <c r="C108" s="1" t="str">
        <f t="shared" si="7"/>
        <v/>
      </c>
      <c r="D108" s="1" t="str">
        <f t="shared" si="8"/>
        <v/>
      </c>
      <c r="E108" s="1" t="str">
        <f t="shared" si="9"/>
        <v/>
      </c>
      <c r="F108" s="1" t="str">
        <f t="shared" si="10"/>
        <v/>
      </c>
      <c r="G108" s="1" t="str">
        <f t="shared" si="11"/>
        <v/>
      </c>
      <c r="H108" s="1" t="e">
        <f t="shared" si="12"/>
        <v>#VALUE!</v>
      </c>
      <c r="I108" s="1" t="str">
        <f t="shared" si="13"/>
        <v/>
      </c>
    </row>
    <row r="109" spans="1:9">
      <c r="A109" s="4" t="str" cm="1">
        <f t="array" ref="A109">IFERROR(INDEX(貼付シート!$B$1:$B$10000,SMALL(貼付シート!$A$1:$A$10000,B109)),"")</f>
        <v/>
      </c>
      <c r="B109" s="1">
        <v>108</v>
      </c>
      <c r="C109" s="1" t="str">
        <f t="shared" si="7"/>
        <v/>
      </c>
      <c r="D109" s="1" t="str">
        <f t="shared" si="8"/>
        <v/>
      </c>
      <c r="E109" s="1" t="str">
        <f t="shared" si="9"/>
        <v/>
      </c>
      <c r="F109" s="1" t="str">
        <f t="shared" si="10"/>
        <v/>
      </c>
      <c r="G109" s="1" t="str">
        <f t="shared" si="11"/>
        <v/>
      </c>
      <c r="H109" s="1" t="e">
        <f t="shared" si="12"/>
        <v>#VALUE!</v>
      </c>
      <c r="I109" s="1" t="str">
        <f t="shared" si="13"/>
        <v/>
      </c>
    </row>
    <row r="110" spans="1:9">
      <c r="A110" s="4" t="str" cm="1">
        <f t="array" ref="A110">IFERROR(INDEX(貼付シート!$B$1:$B$10000,SMALL(貼付シート!$A$1:$A$10000,B110)),"")</f>
        <v/>
      </c>
      <c r="B110" s="1">
        <v>109</v>
      </c>
      <c r="C110" s="1" t="str">
        <f t="shared" si="7"/>
        <v/>
      </c>
      <c r="D110" s="1" t="str">
        <f t="shared" si="8"/>
        <v/>
      </c>
      <c r="E110" s="1" t="str">
        <f t="shared" si="9"/>
        <v/>
      </c>
      <c r="F110" s="1" t="str">
        <f t="shared" si="10"/>
        <v/>
      </c>
      <c r="G110" s="1" t="str">
        <f t="shared" si="11"/>
        <v/>
      </c>
      <c r="H110" s="1" t="e">
        <f t="shared" si="12"/>
        <v>#VALUE!</v>
      </c>
      <c r="I110" s="1" t="str">
        <f t="shared" si="13"/>
        <v/>
      </c>
    </row>
    <row r="111" spans="1:9">
      <c r="A111" s="4" t="str" cm="1">
        <f t="array" ref="A111">IFERROR(INDEX(貼付シート!$B$1:$B$10000,SMALL(貼付シート!$A$1:$A$10000,B111)),"")</f>
        <v/>
      </c>
      <c r="B111" s="1">
        <v>110</v>
      </c>
      <c r="C111" s="1" t="str">
        <f t="shared" si="7"/>
        <v/>
      </c>
      <c r="D111" s="1" t="str">
        <f t="shared" si="8"/>
        <v/>
      </c>
      <c r="E111" s="1" t="str">
        <f t="shared" si="9"/>
        <v/>
      </c>
      <c r="F111" s="1" t="str">
        <f t="shared" si="10"/>
        <v/>
      </c>
      <c r="G111" s="1" t="str">
        <f t="shared" si="11"/>
        <v/>
      </c>
      <c r="H111" s="1" t="e">
        <f t="shared" si="12"/>
        <v>#VALUE!</v>
      </c>
      <c r="I111" s="1" t="str">
        <f t="shared" si="13"/>
        <v/>
      </c>
    </row>
    <row r="112" spans="1:9">
      <c r="A112" s="4" t="str" cm="1">
        <f t="array" ref="A112">IFERROR(INDEX(貼付シート!$B$1:$B$10000,SMALL(貼付シート!$A$1:$A$10000,B112)),"")</f>
        <v/>
      </c>
      <c r="B112" s="1">
        <v>111</v>
      </c>
      <c r="C112" s="1" t="str">
        <f t="shared" si="7"/>
        <v/>
      </c>
      <c r="D112" s="1" t="str">
        <f t="shared" si="8"/>
        <v/>
      </c>
      <c r="E112" s="1" t="str">
        <f t="shared" si="9"/>
        <v/>
      </c>
      <c r="F112" s="1" t="str">
        <f t="shared" si="10"/>
        <v/>
      </c>
      <c r="G112" s="1" t="str">
        <f t="shared" si="11"/>
        <v/>
      </c>
      <c r="H112" s="1" t="e">
        <f t="shared" si="12"/>
        <v>#VALUE!</v>
      </c>
      <c r="I112" s="1" t="str">
        <f t="shared" si="13"/>
        <v/>
      </c>
    </row>
    <row r="113" spans="1:9">
      <c r="A113" s="4" t="str" cm="1">
        <f t="array" ref="A113">IFERROR(INDEX(貼付シート!$B$1:$B$10000,SMALL(貼付シート!$A$1:$A$10000,B113)),"")</f>
        <v/>
      </c>
      <c r="B113" s="1">
        <v>112</v>
      </c>
      <c r="C113" s="1" t="str">
        <f t="shared" si="7"/>
        <v/>
      </c>
      <c r="D113" s="1" t="str">
        <f t="shared" si="8"/>
        <v/>
      </c>
      <c r="E113" s="1" t="str">
        <f t="shared" si="9"/>
        <v/>
      </c>
      <c r="F113" s="1" t="str">
        <f t="shared" si="10"/>
        <v/>
      </c>
      <c r="G113" s="1" t="str">
        <f t="shared" si="11"/>
        <v/>
      </c>
      <c r="H113" s="1" t="e">
        <f t="shared" si="12"/>
        <v>#VALUE!</v>
      </c>
      <c r="I113" s="1" t="str">
        <f t="shared" si="13"/>
        <v/>
      </c>
    </row>
    <row r="114" spans="1:9">
      <c r="A114" s="4" t="str" cm="1">
        <f t="array" ref="A114">IFERROR(INDEX(貼付シート!$B$1:$B$10000,SMALL(貼付シート!$A$1:$A$10000,B114)),"")</f>
        <v/>
      </c>
      <c r="B114" s="1">
        <v>113</v>
      </c>
      <c r="C114" s="1" t="str">
        <f t="shared" si="7"/>
        <v/>
      </c>
      <c r="D114" s="1" t="str">
        <f t="shared" si="8"/>
        <v/>
      </c>
      <c r="E114" s="1" t="str">
        <f t="shared" si="9"/>
        <v/>
      </c>
      <c r="F114" s="1" t="str">
        <f t="shared" si="10"/>
        <v/>
      </c>
      <c r="G114" s="1" t="str">
        <f t="shared" si="11"/>
        <v/>
      </c>
      <c r="H114" s="1" t="e">
        <f t="shared" si="12"/>
        <v>#VALUE!</v>
      </c>
      <c r="I114" s="1" t="str">
        <f t="shared" si="13"/>
        <v/>
      </c>
    </row>
    <row r="115" spans="1:9">
      <c r="A115" s="4" t="str" cm="1">
        <f t="array" ref="A115">IFERROR(INDEX(貼付シート!$B$1:$B$10000,SMALL(貼付シート!$A$1:$A$10000,B115)),"")</f>
        <v/>
      </c>
      <c r="B115" s="1">
        <v>114</v>
      </c>
      <c r="C115" s="1" t="str">
        <f t="shared" si="7"/>
        <v/>
      </c>
      <c r="D115" s="1" t="str">
        <f t="shared" si="8"/>
        <v/>
      </c>
      <c r="E115" s="1" t="str">
        <f t="shared" si="9"/>
        <v/>
      </c>
      <c r="F115" s="1" t="str">
        <f t="shared" si="10"/>
        <v/>
      </c>
      <c r="G115" s="1" t="str">
        <f t="shared" si="11"/>
        <v/>
      </c>
      <c r="H115" s="1" t="e">
        <f t="shared" si="12"/>
        <v>#VALUE!</v>
      </c>
      <c r="I115" s="1" t="str">
        <f t="shared" si="13"/>
        <v/>
      </c>
    </row>
    <row r="116" spans="1:9">
      <c r="A116" s="4" t="str" cm="1">
        <f t="array" ref="A116">IFERROR(INDEX(貼付シート!$B$1:$B$10000,SMALL(貼付シート!$A$1:$A$10000,B116)),"")</f>
        <v/>
      </c>
      <c r="B116" s="1">
        <v>115</v>
      </c>
      <c r="C116" s="1" t="str">
        <f t="shared" si="7"/>
        <v/>
      </c>
      <c r="D116" s="1" t="str">
        <f t="shared" si="8"/>
        <v/>
      </c>
      <c r="E116" s="1" t="str">
        <f t="shared" si="9"/>
        <v/>
      </c>
      <c r="F116" s="1" t="str">
        <f t="shared" si="10"/>
        <v/>
      </c>
      <c r="G116" s="1" t="str">
        <f t="shared" si="11"/>
        <v/>
      </c>
      <c r="H116" s="1" t="e">
        <f t="shared" si="12"/>
        <v>#VALUE!</v>
      </c>
      <c r="I116" s="1" t="str">
        <f t="shared" si="13"/>
        <v/>
      </c>
    </row>
    <row r="117" spans="1:9">
      <c r="A117" s="4" t="str" cm="1">
        <f t="array" ref="A117">IFERROR(INDEX(貼付シート!$B$1:$B$10000,SMALL(貼付シート!$A$1:$A$10000,B117)),"")</f>
        <v/>
      </c>
      <c r="B117" s="1">
        <v>116</v>
      </c>
      <c r="C117" s="1" t="str">
        <f t="shared" si="7"/>
        <v/>
      </c>
      <c r="D117" s="1" t="str">
        <f t="shared" si="8"/>
        <v/>
      </c>
      <c r="E117" s="1" t="str">
        <f t="shared" si="9"/>
        <v/>
      </c>
      <c r="F117" s="1" t="str">
        <f t="shared" si="10"/>
        <v/>
      </c>
      <c r="G117" s="1" t="str">
        <f t="shared" si="11"/>
        <v/>
      </c>
      <c r="H117" s="1" t="e">
        <f t="shared" si="12"/>
        <v>#VALUE!</v>
      </c>
      <c r="I117" s="1" t="str">
        <f t="shared" si="13"/>
        <v/>
      </c>
    </row>
    <row r="118" spans="1:9">
      <c r="A118" s="4" t="str" cm="1">
        <f t="array" ref="A118">IFERROR(INDEX(貼付シート!$B$1:$B$10000,SMALL(貼付シート!$A$1:$A$10000,B118)),"")</f>
        <v/>
      </c>
      <c r="B118" s="1">
        <v>117</v>
      </c>
      <c r="C118" s="1" t="str">
        <f t="shared" si="7"/>
        <v/>
      </c>
      <c r="D118" s="1" t="str">
        <f t="shared" si="8"/>
        <v/>
      </c>
      <c r="E118" s="1" t="str">
        <f t="shared" si="9"/>
        <v/>
      </c>
      <c r="F118" s="1" t="str">
        <f t="shared" si="10"/>
        <v/>
      </c>
      <c r="G118" s="1" t="str">
        <f t="shared" si="11"/>
        <v/>
      </c>
      <c r="H118" s="1" t="e">
        <f t="shared" si="12"/>
        <v>#VALUE!</v>
      </c>
      <c r="I118" s="1" t="str">
        <f t="shared" si="13"/>
        <v/>
      </c>
    </row>
    <row r="119" spans="1:9">
      <c r="A119" s="4" t="str" cm="1">
        <f t="array" ref="A119">IFERROR(INDEX(貼付シート!$B$1:$B$10000,SMALL(貼付シート!$A$1:$A$10000,B119)),"")</f>
        <v/>
      </c>
      <c r="B119" s="1">
        <v>118</v>
      </c>
      <c r="C119" s="1" t="str">
        <f t="shared" si="7"/>
        <v/>
      </c>
      <c r="D119" s="1" t="str">
        <f t="shared" si="8"/>
        <v/>
      </c>
      <c r="E119" s="1" t="str">
        <f t="shared" si="9"/>
        <v/>
      </c>
      <c r="F119" s="1" t="str">
        <f t="shared" si="10"/>
        <v/>
      </c>
      <c r="G119" s="1" t="str">
        <f t="shared" si="11"/>
        <v/>
      </c>
      <c r="H119" s="1" t="e">
        <f t="shared" si="12"/>
        <v>#VALUE!</v>
      </c>
      <c r="I119" s="1" t="str">
        <f t="shared" si="13"/>
        <v/>
      </c>
    </row>
    <row r="120" spans="1:9">
      <c r="A120" s="4" t="str" cm="1">
        <f t="array" ref="A120">IFERROR(INDEX(貼付シート!$B$1:$B$10000,SMALL(貼付シート!$A$1:$A$10000,B120)),"")</f>
        <v/>
      </c>
      <c r="B120" s="1">
        <v>119</v>
      </c>
      <c r="C120" s="1" t="str">
        <f t="shared" si="7"/>
        <v/>
      </c>
      <c r="D120" s="1" t="str">
        <f t="shared" si="8"/>
        <v/>
      </c>
      <c r="E120" s="1" t="str">
        <f t="shared" si="9"/>
        <v/>
      </c>
      <c r="F120" s="1" t="str">
        <f t="shared" si="10"/>
        <v/>
      </c>
      <c r="G120" s="1" t="str">
        <f t="shared" si="11"/>
        <v/>
      </c>
      <c r="H120" s="1" t="e">
        <f t="shared" si="12"/>
        <v>#VALUE!</v>
      </c>
      <c r="I120" s="1" t="str">
        <f t="shared" si="13"/>
        <v/>
      </c>
    </row>
    <row r="121" spans="1:9">
      <c r="A121" s="4" t="str" cm="1">
        <f t="array" ref="A121">IFERROR(INDEX(貼付シート!$B$1:$B$10000,SMALL(貼付シート!$A$1:$A$10000,B121)),"")</f>
        <v/>
      </c>
      <c r="B121" s="1">
        <v>120</v>
      </c>
      <c r="C121" s="1" t="str">
        <f t="shared" si="7"/>
        <v/>
      </c>
      <c r="D121" s="1" t="str">
        <f t="shared" si="8"/>
        <v/>
      </c>
      <c r="E121" s="1" t="str">
        <f t="shared" si="9"/>
        <v/>
      </c>
      <c r="F121" s="1" t="str">
        <f t="shared" si="10"/>
        <v/>
      </c>
      <c r="G121" s="1" t="str">
        <f t="shared" si="11"/>
        <v/>
      </c>
      <c r="H121" s="1" t="e">
        <f t="shared" si="12"/>
        <v>#VALUE!</v>
      </c>
      <c r="I121" s="1" t="str">
        <f t="shared" si="13"/>
        <v/>
      </c>
    </row>
    <row r="122" spans="1:9">
      <c r="A122" s="4" t="str" cm="1">
        <f t="array" ref="A122">IFERROR(INDEX(貼付シート!$B$1:$B$10000,SMALL(貼付シート!$A$1:$A$10000,B122)),"")</f>
        <v/>
      </c>
      <c r="B122" s="1">
        <v>121</v>
      </c>
      <c r="C122" s="1" t="str">
        <f t="shared" si="7"/>
        <v/>
      </c>
      <c r="D122" s="1" t="str">
        <f t="shared" si="8"/>
        <v/>
      </c>
      <c r="E122" s="1" t="str">
        <f t="shared" si="9"/>
        <v/>
      </c>
      <c r="F122" s="1" t="str">
        <f t="shared" si="10"/>
        <v/>
      </c>
      <c r="G122" s="1" t="str">
        <f t="shared" si="11"/>
        <v/>
      </c>
      <c r="H122" s="1" t="e">
        <f t="shared" si="12"/>
        <v>#VALUE!</v>
      </c>
      <c r="I122" s="1" t="str">
        <f t="shared" si="13"/>
        <v/>
      </c>
    </row>
    <row r="123" spans="1:9">
      <c r="A123" s="4" t="str" cm="1">
        <f t="array" ref="A123">IFERROR(INDEX(貼付シート!$B$1:$B$10000,SMALL(貼付シート!$A$1:$A$10000,B123)),"")</f>
        <v/>
      </c>
      <c r="B123" s="1">
        <v>122</v>
      </c>
      <c r="C123" s="1" t="str">
        <f t="shared" si="7"/>
        <v/>
      </c>
      <c r="D123" s="1" t="str">
        <f t="shared" si="8"/>
        <v/>
      </c>
      <c r="E123" s="1" t="str">
        <f t="shared" si="9"/>
        <v/>
      </c>
      <c r="F123" s="1" t="str">
        <f t="shared" si="10"/>
        <v/>
      </c>
      <c r="G123" s="1" t="str">
        <f t="shared" si="11"/>
        <v/>
      </c>
      <c r="H123" s="1" t="e">
        <f t="shared" si="12"/>
        <v>#VALUE!</v>
      </c>
      <c r="I123" s="1" t="str">
        <f t="shared" si="13"/>
        <v/>
      </c>
    </row>
    <row r="124" spans="1:9">
      <c r="A124" s="4" t="str" cm="1">
        <f t="array" ref="A124">IFERROR(INDEX(貼付シート!$B$1:$B$10000,SMALL(貼付シート!$A$1:$A$10000,B124)),"")</f>
        <v/>
      </c>
      <c r="B124" s="1">
        <v>123</v>
      </c>
      <c r="C124" s="1" t="str">
        <f t="shared" si="7"/>
        <v/>
      </c>
      <c r="D124" s="1" t="str">
        <f t="shared" si="8"/>
        <v/>
      </c>
      <c r="E124" s="1" t="str">
        <f t="shared" si="9"/>
        <v/>
      </c>
      <c r="F124" s="1" t="str">
        <f t="shared" si="10"/>
        <v/>
      </c>
      <c r="G124" s="1" t="str">
        <f t="shared" si="11"/>
        <v/>
      </c>
      <c r="H124" s="1" t="e">
        <f t="shared" si="12"/>
        <v>#VALUE!</v>
      </c>
      <c r="I124" s="1" t="str">
        <f t="shared" si="13"/>
        <v/>
      </c>
    </row>
    <row r="125" spans="1:9">
      <c r="A125" s="4" t="str" cm="1">
        <f t="array" ref="A125">IFERROR(INDEX(貼付シート!$B$1:$B$10000,SMALL(貼付シート!$A$1:$A$10000,B125)),"")</f>
        <v/>
      </c>
      <c r="B125" s="1">
        <v>124</v>
      </c>
      <c r="C125" s="1" t="str">
        <f t="shared" si="7"/>
        <v/>
      </c>
      <c r="D125" s="1" t="str">
        <f t="shared" si="8"/>
        <v/>
      </c>
      <c r="E125" s="1" t="str">
        <f t="shared" si="9"/>
        <v/>
      </c>
      <c r="F125" s="1" t="str">
        <f t="shared" si="10"/>
        <v/>
      </c>
      <c r="G125" s="1" t="str">
        <f t="shared" si="11"/>
        <v/>
      </c>
      <c r="H125" s="1" t="e">
        <f t="shared" si="12"/>
        <v>#VALUE!</v>
      </c>
      <c r="I125" s="1" t="str">
        <f t="shared" si="13"/>
        <v/>
      </c>
    </row>
    <row r="126" spans="1:9">
      <c r="A126" s="4" t="str" cm="1">
        <f t="array" ref="A126">IFERROR(INDEX(貼付シート!$B$1:$B$10000,SMALL(貼付シート!$A$1:$A$10000,B126)),"")</f>
        <v/>
      </c>
      <c r="B126" s="1">
        <v>125</v>
      </c>
      <c r="C126" s="1" t="str">
        <f t="shared" si="7"/>
        <v/>
      </c>
      <c r="D126" s="1" t="str">
        <f t="shared" si="8"/>
        <v/>
      </c>
      <c r="E126" s="1" t="str">
        <f t="shared" si="9"/>
        <v/>
      </c>
      <c r="F126" s="1" t="str">
        <f t="shared" si="10"/>
        <v/>
      </c>
      <c r="G126" s="1" t="str">
        <f t="shared" si="11"/>
        <v/>
      </c>
      <c r="H126" s="1" t="e">
        <f t="shared" si="12"/>
        <v>#VALUE!</v>
      </c>
      <c r="I126" s="1" t="str">
        <f t="shared" si="13"/>
        <v/>
      </c>
    </row>
    <row r="127" spans="1:9">
      <c r="A127" s="4" t="str" cm="1">
        <f t="array" ref="A127">IFERROR(INDEX(貼付シート!$B$1:$B$10000,SMALL(貼付シート!$A$1:$A$10000,B127)),"")</f>
        <v/>
      </c>
      <c r="B127" s="1">
        <v>126</v>
      </c>
      <c r="C127" s="1" t="str">
        <f t="shared" si="7"/>
        <v/>
      </c>
      <c r="D127" s="1" t="str">
        <f t="shared" si="8"/>
        <v/>
      </c>
      <c r="E127" s="1" t="str">
        <f t="shared" si="9"/>
        <v/>
      </c>
      <c r="F127" s="1" t="str">
        <f t="shared" si="10"/>
        <v/>
      </c>
      <c r="G127" s="1" t="str">
        <f t="shared" si="11"/>
        <v/>
      </c>
      <c r="H127" s="1" t="e">
        <f t="shared" si="12"/>
        <v>#VALUE!</v>
      </c>
      <c r="I127" s="1" t="str">
        <f t="shared" si="13"/>
        <v/>
      </c>
    </row>
    <row r="128" spans="1:9">
      <c r="A128" s="4" t="str" cm="1">
        <f t="array" ref="A128">IFERROR(INDEX(貼付シート!$B$1:$B$10000,SMALL(貼付シート!$A$1:$A$10000,B128)),"")</f>
        <v/>
      </c>
      <c r="B128" s="1">
        <v>127</v>
      </c>
      <c r="C128" s="1" t="str">
        <f t="shared" si="7"/>
        <v/>
      </c>
      <c r="D128" s="1" t="str">
        <f t="shared" si="8"/>
        <v/>
      </c>
      <c r="E128" s="1" t="str">
        <f t="shared" si="9"/>
        <v/>
      </c>
      <c r="F128" s="1" t="str">
        <f t="shared" si="10"/>
        <v/>
      </c>
      <c r="G128" s="1" t="str">
        <f t="shared" si="11"/>
        <v/>
      </c>
      <c r="H128" s="1" t="e">
        <f t="shared" si="12"/>
        <v>#VALUE!</v>
      </c>
      <c r="I128" s="1" t="str">
        <f t="shared" si="13"/>
        <v/>
      </c>
    </row>
    <row r="129" spans="1:9">
      <c r="A129" s="4" t="str" cm="1">
        <f t="array" ref="A129">IFERROR(INDEX(貼付シート!$B$1:$B$10000,SMALL(貼付シート!$A$1:$A$10000,B129)),"")</f>
        <v/>
      </c>
      <c r="B129" s="1">
        <v>128</v>
      </c>
      <c r="C129" s="1" t="str">
        <f t="shared" si="7"/>
        <v/>
      </c>
      <c r="D129" s="1" t="str">
        <f t="shared" si="8"/>
        <v/>
      </c>
      <c r="E129" s="1" t="str">
        <f t="shared" si="9"/>
        <v/>
      </c>
      <c r="F129" s="1" t="str">
        <f t="shared" si="10"/>
        <v/>
      </c>
      <c r="G129" s="1" t="str">
        <f t="shared" si="11"/>
        <v/>
      </c>
      <c r="H129" s="1" t="e">
        <f t="shared" si="12"/>
        <v>#VALUE!</v>
      </c>
      <c r="I129" s="1" t="str">
        <f t="shared" si="13"/>
        <v/>
      </c>
    </row>
    <row r="130" spans="1:9">
      <c r="A130" s="4" t="str" cm="1">
        <f t="array" ref="A130">IFERROR(INDEX(貼付シート!$B$1:$B$10000,SMALL(貼付シート!$A$1:$A$10000,B130)),"")</f>
        <v/>
      </c>
      <c r="B130" s="1">
        <v>129</v>
      </c>
      <c r="C130" s="1" t="str">
        <f t="shared" si="7"/>
        <v/>
      </c>
      <c r="D130" s="1" t="str">
        <f t="shared" si="8"/>
        <v/>
      </c>
      <c r="E130" s="1" t="str">
        <f t="shared" si="9"/>
        <v/>
      </c>
      <c r="F130" s="1" t="str">
        <f t="shared" si="10"/>
        <v/>
      </c>
      <c r="G130" s="1" t="str">
        <f t="shared" si="11"/>
        <v/>
      </c>
      <c r="H130" s="1" t="e">
        <f t="shared" si="12"/>
        <v>#VALUE!</v>
      </c>
      <c r="I130" s="1" t="str">
        <f t="shared" si="13"/>
        <v/>
      </c>
    </row>
    <row r="131" spans="1:9">
      <c r="A131" s="4" t="str" cm="1">
        <f t="array" ref="A131">IFERROR(INDEX(貼付シート!$B$1:$B$10000,SMALL(貼付シート!$A$1:$A$10000,B131)),"")</f>
        <v/>
      </c>
      <c r="B131" s="1">
        <v>130</v>
      </c>
      <c r="C131" s="1" t="str">
        <f t="shared" ref="C131:C194" si="14">MIDB(A131,1,6)</f>
        <v/>
      </c>
      <c r="D131" s="1" t="str">
        <f t="shared" ref="D131:D194" si="15">MIDB(A131,8,9)</f>
        <v/>
      </c>
      <c r="E131" s="1" t="str">
        <f t="shared" ref="E131:E194" si="16">TRIM(MIDB(A131,18,23))</f>
        <v/>
      </c>
      <c r="F131" s="1" t="str">
        <f t="shared" ref="F131:F194" si="17">MIDB(A131,41,10)</f>
        <v/>
      </c>
      <c r="G131" s="1" t="str">
        <f t="shared" ref="G131:G194" si="18">TRIM(MIDB(A131,52,35))</f>
        <v/>
      </c>
      <c r="H131" s="1" t="e">
        <f t="shared" ref="H131:H194" si="19">VALUE(TRIM(MIDB(A131,85,10)))</f>
        <v>#VALUE!</v>
      </c>
      <c r="I131" s="1" t="str">
        <f t="shared" ref="I131:I194" si="20">TRIM(MIDB(A131,96,25))</f>
        <v/>
      </c>
    </row>
    <row r="132" spans="1:9">
      <c r="A132" s="4" t="str" cm="1">
        <f t="array" ref="A132">IFERROR(INDEX(貼付シート!$B$1:$B$10000,SMALL(貼付シート!$A$1:$A$10000,B132)),"")</f>
        <v/>
      </c>
      <c r="B132" s="1">
        <v>131</v>
      </c>
      <c r="C132" s="1" t="str">
        <f t="shared" si="14"/>
        <v/>
      </c>
      <c r="D132" s="1" t="str">
        <f t="shared" si="15"/>
        <v/>
      </c>
      <c r="E132" s="1" t="str">
        <f t="shared" si="16"/>
        <v/>
      </c>
      <c r="F132" s="1" t="str">
        <f t="shared" si="17"/>
        <v/>
      </c>
      <c r="G132" s="1" t="str">
        <f t="shared" si="18"/>
        <v/>
      </c>
      <c r="H132" s="1" t="e">
        <f t="shared" si="19"/>
        <v>#VALUE!</v>
      </c>
      <c r="I132" s="1" t="str">
        <f t="shared" si="20"/>
        <v/>
      </c>
    </row>
    <row r="133" spans="1:9">
      <c r="A133" s="4" t="str" cm="1">
        <f t="array" ref="A133">IFERROR(INDEX(貼付シート!$B$1:$B$10000,SMALL(貼付シート!$A$1:$A$10000,B133)),"")</f>
        <v/>
      </c>
      <c r="B133" s="1">
        <v>132</v>
      </c>
      <c r="C133" s="1" t="str">
        <f t="shared" si="14"/>
        <v/>
      </c>
      <c r="D133" s="1" t="str">
        <f t="shared" si="15"/>
        <v/>
      </c>
      <c r="E133" s="1" t="str">
        <f t="shared" si="16"/>
        <v/>
      </c>
      <c r="F133" s="1" t="str">
        <f t="shared" si="17"/>
        <v/>
      </c>
      <c r="G133" s="1" t="str">
        <f t="shared" si="18"/>
        <v/>
      </c>
      <c r="H133" s="1" t="e">
        <f t="shared" si="19"/>
        <v>#VALUE!</v>
      </c>
      <c r="I133" s="1" t="str">
        <f t="shared" si="20"/>
        <v/>
      </c>
    </row>
    <row r="134" spans="1:9">
      <c r="A134" s="4" t="str" cm="1">
        <f t="array" ref="A134">IFERROR(INDEX(貼付シート!$B$1:$B$10000,SMALL(貼付シート!$A$1:$A$10000,B134)),"")</f>
        <v/>
      </c>
      <c r="B134" s="1">
        <v>133</v>
      </c>
      <c r="C134" s="1" t="str">
        <f t="shared" si="14"/>
        <v/>
      </c>
      <c r="D134" s="1" t="str">
        <f t="shared" si="15"/>
        <v/>
      </c>
      <c r="E134" s="1" t="str">
        <f t="shared" si="16"/>
        <v/>
      </c>
      <c r="F134" s="1" t="str">
        <f t="shared" si="17"/>
        <v/>
      </c>
      <c r="G134" s="1" t="str">
        <f t="shared" si="18"/>
        <v/>
      </c>
      <c r="H134" s="1" t="e">
        <f t="shared" si="19"/>
        <v>#VALUE!</v>
      </c>
      <c r="I134" s="1" t="str">
        <f t="shared" si="20"/>
        <v/>
      </c>
    </row>
    <row r="135" spans="1:9">
      <c r="A135" s="4" t="str" cm="1">
        <f t="array" ref="A135">IFERROR(INDEX(貼付シート!$B$1:$B$10000,SMALL(貼付シート!$A$1:$A$10000,B135)),"")</f>
        <v/>
      </c>
      <c r="B135" s="1">
        <v>134</v>
      </c>
      <c r="C135" s="1" t="str">
        <f t="shared" si="14"/>
        <v/>
      </c>
      <c r="D135" s="1" t="str">
        <f t="shared" si="15"/>
        <v/>
      </c>
      <c r="E135" s="1" t="str">
        <f t="shared" si="16"/>
        <v/>
      </c>
      <c r="F135" s="1" t="str">
        <f t="shared" si="17"/>
        <v/>
      </c>
      <c r="G135" s="1" t="str">
        <f t="shared" si="18"/>
        <v/>
      </c>
      <c r="H135" s="1" t="e">
        <f t="shared" si="19"/>
        <v>#VALUE!</v>
      </c>
      <c r="I135" s="1" t="str">
        <f t="shared" si="20"/>
        <v/>
      </c>
    </row>
    <row r="136" spans="1:9">
      <c r="A136" s="4" t="str" cm="1">
        <f t="array" ref="A136">IFERROR(INDEX(貼付シート!$B$1:$B$10000,SMALL(貼付シート!$A$1:$A$10000,B136)),"")</f>
        <v/>
      </c>
      <c r="B136" s="1">
        <v>135</v>
      </c>
      <c r="C136" s="1" t="str">
        <f t="shared" si="14"/>
        <v/>
      </c>
      <c r="D136" s="1" t="str">
        <f t="shared" si="15"/>
        <v/>
      </c>
      <c r="E136" s="1" t="str">
        <f t="shared" si="16"/>
        <v/>
      </c>
      <c r="F136" s="1" t="str">
        <f t="shared" si="17"/>
        <v/>
      </c>
      <c r="G136" s="1" t="str">
        <f t="shared" si="18"/>
        <v/>
      </c>
      <c r="H136" s="1" t="e">
        <f t="shared" si="19"/>
        <v>#VALUE!</v>
      </c>
      <c r="I136" s="1" t="str">
        <f t="shared" si="20"/>
        <v/>
      </c>
    </row>
    <row r="137" spans="1:9">
      <c r="A137" s="4" t="str" cm="1">
        <f t="array" ref="A137">IFERROR(INDEX(貼付シート!$B$1:$B$10000,SMALL(貼付シート!$A$1:$A$10000,B137)),"")</f>
        <v/>
      </c>
      <c r="B137" s="1">
        <v>136</v>
      </c>
      <c r="C137" s="1" t="str">
        <f t="shared" si="14"/>
        <v/>
      </c>
      <c r="D137" s="1" t="str">
        <f t="shared" si="15"/>
        <v/>
      </c>
      <c r="E137" s="1" t="str">
        <f t="shared" si="16"/>
        <v/>
      </c>
      <c r="F137" s="1" t="str">
        <f t="shared" si="17"/>
        <v/>
      </c>
      <c r="G137" s="1" t="str">
        <f t="shared" si="18"/>
        <v/>
      </c>
      <c r="H137" s="1" t="e">
        <f t="shared" si="19"/>
        <v>#VALUE!</v>
      </c>
      <c r="I137" s="1" t="str">
        <f t="shared" si="20"/>
        <v/>
      </c>
    </row>
    <row r="138" spans="1:9">
      <c r="A138" s="4" t="str" cm="1">
        <f t="array" ref="A138">IFERROR(INDEX(貼付シート!$B$1:$B$10000,SMALL(貼付シート!$A$1:$A$10000,B138)),"")</f>
        <v/>
      </c>
      <c r="B138" s="1">
        <v>137</v>
      </c>
      <c r="C138" s="1" t="str">
        <f t="shared" si="14"/>
        <v/>
      </c>
      <c r="D138" s="1" t="str">
        <f t="shared" si="15"/>
        <v/>
      </c>
      <c r="E138" s="1" t="str">
        <f t="shared" si="16"/>
        <v/>
      </c>
      <c r="F138" s="1" t="str">
        <f t="shared" si="17"/>
        <v/>
      </c>
      <c r="G138" s="1" t="str">
        <f t="shared" si="18"/>
        <v/>
      </c>
      <c r="H138" s="1" t="e">
        <f t="shared" si="19"/>
        <v>#VALUE!</v>
      </c>
      <c r="I138" s="1" t="str">
        <f t="shared" si="20"/>
        <v/>
      </c>
    </row>
    <row r="139" spans="1:9">
      <c r="A139" s="4" t="str" cm="1">
        <f t="array" ref="A139">IFERROR(INDEX(貼付シート!$B$1:$B$10000,SMALL(貼付シート!$A$1:$A$10000,B139)),"")</f>
        <v/>
      </c>
      <c r="B139" s="1">
        <v>138</v>
      </c>
      <c r="C139" s="1" t="str">
        <f t="shared" si="14"/>
        <v/>
      </c>
      <c r="D139" s="1" t="str">
        <f t="shared" si="15"/>
        <v/>
      </c>
      <c r="E139" s="1" t="str">
        <f t="shared" si="16"/>
        <v/>
      </c>
      <c r="F139" s="1" t="str">
        <f t="shared" si="17"/>
        <v/>
      </c>
      <c r="G139" s="1" t="str">
        <f t="shared" si="18"/>
        <v/>
      </c>
      <c r="H139" s="1" t="e">
        <f t="shared" si="19"/>
        <v>#VALUE!</v>
      </c>
      <c r="I139" s="1" t="str">
        <f t="shared" si="20"/>
        <v/>
      </c>
    </row>
    <row r="140" spans="1:9">
      <c r="A140" s="4" t="str" cm="1">
        <f t="array" ref="A140">IFERROR(INDEX(貼付シート!$B$1:$B$10000,SMALL(貼付シート!$A$1:$A$10000,B140)),"")</f>
        <v/>
      </c>
      <c r="B140" s="1">
        <v>139</v>
      </c>
      <c r="C140" s="1" t="str">
        <f t="shared" si="14"/>
        <v/>
      </c>
      <c r="D140" s="1" t="str">
        <f t="shared" si="15"/>
        <v/>
      </c>
      <c r="E140" s="1" t="str">
        <f t="shared" si="16"/>
        <v/>
      </c>
      <c r="F140" s="1" t="str">
        <f t="shared" si="17"/>
        <v/>
      </c>
      <c r="G140" s="1" t="str">
        <f t="shared" si="18"/>
        <v/>
      </c>
      <c r="H140" s="1" t="e">
        <f t="shared" si="19"/>
        <v>#VALUE!</v>
      </c>
      <c r="I140" s="1" t="str">
        <f t="shared" si="20"/>
        <v/>
      </c>
    </row>
    <row r="141" spans="1:9">
      <c r="A141" s="4" t="str" cm="1">
        <f t="array" ref="A141">IFERROR(INDEX(貼付シート!$B$1:$B$10000,SMALL(貼付シート!$A$1:$A$10000,B141)),"")</f>
        <v/>
      </c>
      <c r="B141" s="1">
        <v>140</v>
      </c>
      <c r="C141" s="1" t="str">
        <f t="shared" si="14"/>
        <v/>
      </c>
      <c r="D141" s="1" t="str">
        <f t="shared" si="15"/>
        <v/>
      </c>
      <c r="E141" s="1" t="str">
        <f t="shared" si="16"/>
        <v/>
      </c>
      <c r="F141" s="1" t="str">
        <f t="shared" si="17"/>
        <v/>
      </c>
      <c r="G141" s="1" t="str">
        <f t="shared" si="18"/>
        <v/>
      </c>
      <c r="H141" s="1" t="e">
        <f t="shared" si="19"/>
        <v>#VALUE!</v>
      </c>
      <c r="I141" s="1" t="str">
        <f t="shared" si="20"/>
        <v/>
      </c>
    </row>
    <row r="142" spans="1:9">
      <c r="A142" s="4" t="str" cm="1">
        <f t="array" ref="A142">IFERROR(INDEX(貼付シート!$B$1:$B$10000,SMALL(貼付シート!$A$1:$A$10000,B142)),"")</f>
        <v/>
      </c>
      <c r="B142" s="1">
        <v>141</v>
      </c>
      <c r="C142" s="1" t="str">
        <f t="shared" si="14"/>
        <v/>
      </c>
      <c r="D142" s="1" t="str">
        <f t="shared" si="15"/>
        <v/>
      </c>
      <c r="E142" s="1" t="str">
        <f t="shared" si="16"/>
        <v/>
      </c>
      <c r="F142" s="1" t="str">
        <f t="shared" si="17"/>
        <v/>
      </c>
      <c r="G142" s="1" t="str">
        <f t="shared" si="18"/>
        <v/>
      </c>
      <c r="H142" s="1" t="e">
        <f t="shared" si="19"/>
        <v>#VALUE!</v>
      </c>
      <c r="I142" s="1" t="str">
        <f t="shared" si="20"/>
        <v/>
      </c>
    </row>
    <row r="143" spans="1:9">
      <c r="A143" s="4" t="str" cm="1">
        <f t="array" ref="A143">IFERROR(INDEX(貼付シート!$B$1:$B$10000,SMALL(貼付シート!$A$1:$A$10000,B143)),"")</f>
        <v/>
      </c>
      <c r="B143" s="1">
        <v>142</v>
      </c>
      <c r="C143" s="1" t="str">
        <f t="shared" si="14"/>
        <v/>
      </c>
      <c r="D143" s="1" t="str">
        <f t="shared" si="15"/>
        <v/>
      </c>
      <c r="E143" s="1" t="str">
        <f t="shared" si="16"/>
        <v/>
      </c>
      <c r="F143" s="1" t="str">
        <f t="shared" si="17"/>
        <v/>
      </c>
      <c r="G143" s="1" t="str">
        <f t="shared" si="18"/>
        <v/>
      </c>
      <c r="H143" s="1" t="e">
        <f t="shared" si="19"/>
        <v>#VALUE!</v>
      </c>
      <c r="I143" s="1" t="str">
        <f t="shared" si="20"/>
        <v/>
      </c>
    </row>
    <row r="144" spans="1:9">
      <c r="A144" s="4" t="str" cm="1">
        <f t="array" ref="A144">IFERROR(INDEX(貼付シート!$B$1:$B$10000,SMALL(貼付シート!$A$1:$A$10000,B144)),"")</f>
        <v/>
      </c>
      <c r="B144" s="1">
        <v>143</v>
      </c>
      <c r="C144" s="1" t="str">
        <f t="shared" si="14"/>
        <v/>
      </c>
      <c r="D144" s="1" t="str">
        <f t="shared" si="15"/>
        <v/>
      </c>
      <c r="E144" s="1" t="str">
        <f t="shared" si="16"/>
        <v/>
      </c>
      <c r="F144" s="1" t="str">
        <f t="shared" si="17"/>
        <v/>
      </c>
      <c r="G144" s="1" t="str">
        <f t="shared" si="18"/>
        <v/>
      </c>
      <c r="H144" s="1" t="e">
        <f t="shared" si="19"/>
        <v>#VALUE!</v>
      </c>
      <c r="I144" s="1" t="str">
        <f t="shared" si="20"/>
        <v/>
      </c>
    </row>
    <row r="145" spans="1:9">
      <c r="A145" s="4" t="str" cm="1">
        <f t="array" ref="A145">IFERROR(INDEX(貼付シート!$B$1:$B$10000,SMALL(貼付シート!$A$1:$A$10000,B145)),"")</f>
        <v/>
      </c>
      <c r="B145" s="1">
        <v>144</v>
      </c>
      <c r="C145" s="1" t="str">
        <f t="shared" si="14"/>
        <v/>
      </c>
      <c r="D145" s="1" t="str">
        <f t="shared" si="15"/>
        <v/>
      </c>
      <c r="E145" s="1" t="str">
        <f t="shared" si="16"/>
        <v/>
      </c>
      <c r="F145" s="1" t="str">
        <f t="shared" si="17"/>
        <v/>
      </c>
      <c r="G145" s="1" t="str">
        <f t="shared" si="18"/>
        <v/>
      </c>
      <c r="H145" s="1" t="e">
        <f t="shared" si="19"/>
        <v>#VALUE!</v>
      </c>
      <c r="I145" s="1" t="str">
        <f t="shared" si="20"/>
        <v/>
      </c>
    </row>
    <row r="146" spans="1:9">
      <c r="A146" s="4" t="str" cm="1">
        <f t="array" ref="A146">IFERROR(INDEX(貼付シート!$B$1:$B$10000,SMALL(貼付シート!$A$1:$A$10000,B146)),"")</f>
        <v/>
      </c>
      <c r="B146" s="1">
        <v>145</v>
      </c>
      <c r="C146" s="1" t="str">
        <f t="shared" si="14"/>
        <v/>
      </c>
      <c r="D146" s="1" t="str">
        <f t="shared" si="15"/>
        <v/>
      </c>
      <c r="E146" s="1" t="str">
        <f t="shared" si="16"/>
        <v/>
      </c>
      <c r="F146" s="1" t="str">
        <f t="shared" si="17"/>
        <v/>
      </c>
      <c r="G146" s="1" t="str">
        <f t="shared" si="18"/>
        <v/>
      </c>
      <c r="H146" s="1" t="e">
        <f t="shared" si="19"/>
        <v>#VALUE!</v>
      </c>
      <c r="I146" s="1" t="str">
        <f t="shared" si="20"/>
        <v/>
      </c>
    </row>
    <row r="147" spans="1:9">
      <c r="A147" s="4" t="str" cm="1">
        <f t="array" ref="A147">IFERROR(INDEX(貼付シート!$B$1:$B$10000,SMALL(貼付シート!$A$1:$A$10000,B147)),"")</f>
        <v/>
      </c>
      <c r="B147" s="1">
        <v>146</v>
      </c>
      <c r="C147" s="1" t="str">
        <f t="shared" si="14"/>
        <v/>
      </c>
      <c r="D147" s="1" t="str">
        <f t="shared" si="15"/>
        <v/>
      </c>
      <c r="E147" s="1" t="str">
        <f t="shared" si="16"/>
        <v/>
      </c>
      <c r="F147" s="1" t="str">
        <f t="shared" si="17"/>
        <v/>
      </c>
      <c r="G147" s="1" t="str">
        <f t="shared" si="18"/>
        <v/>
      </c>
      <c r="H147" s="1" t="e">
        <f t="shared" si="19"/>
        <v>#VALUE!</v>
      </c>
      <c r="I147" s="1" t="str">
        <f t="shared" si="20"/>
        <v/>
      </c>
    </row>
    <row r="148" spans="1:9">
      <c r="A148" s="4" t="str" cm="1">
        <f t="array" ref="A148">IFERROR(INDEX(貼付シート!$B$1:$B$10000,SMALL(貼付シート!$A$1:$A$10000,B148)),"")</f>
        <v/>
      </c>
      <c r="B148" s="1">
        <v>147</v>
      </c>
      <c r="C148" s="1" t="str">
        <f t="shared" si="14"/>
        <v/>
      </c>
      <c r="D148" s="1" t="str">
        <f t="shared" si="15"/>
        <v/>
      </c>
      <c r="E148" s="1" t="str">
        <f t="shared" si="16"/>
        <v/>
      </c>
      <c r="F148" s="1" t="str">
        <f t="shared" si="17"/>
        <v/>
      </c>
      <c r="G148" s="1" t="str">
        <f t="shared" si="18"/>
        <v/>
      </c>
      <c r="H148" s="1" t="e">
        <f t="shared" si="19"/>
        <v>#VALUE!</v>
      </c>
      <c r="I148" s="1" t="str">
        <f t="shared" si="20"/>
        <v/>
      </c>
    </row>
    <row r="149" spans="1:9">
      <c r="A149" s="4" t="str" cm="1">
        <f t="array" ref="A149">IFERROR(INDEX(貼付シート!$B$1:$B$10000,SMALL(貼付シート!$A$1:$A$10000,B149)),"")</f>
        <v/>
      </c>
      <c r="B149" s="1">
        <v>148</v>
      </c>
      <c r="C149" s="1" t="str">
        <f t="shared" si="14"/>
        <v/>
      </c>
      <c r="D149" s="1" t="str">
        <f t="shared" si="15"/>
        <v/>
      </c>
      <c r="E149" s="1" t="str">
        <f t="shared" si="16"/>
        <v/>
      </c>
      <c r="F149" s="1" t="str">
        <f t="shared" si="17"/>
        <v/>
      </c>
      <c r="G149" s="1" t="str">
        <f t="shared" si="18"/>
        <v/>
      </c>
      <c r="H149" s="1" t="e">
        <f t="shared" si="19"/>
        <v>#VALUE!</v>
      </c>
      <c r="I149" s="1" t="str">
        <f t="shared" si="20"/>
        <v/>
      </c>
    </row>
    <row r="150" spans="1:9">
      <c r="A150" s="4" t="str" cm="1">
        <f t="array" ref="A150">IFERROR(INDEX(貼付シート!$B$1:$B$10000,SMALL(貼付シート!$A$1:$A$10000,B150)),"")</f>
        <v/>
      </c>
      <c r="B150" s="1">
        <v>149</v>
      </c>
      <c r="C150" s="1" t="str">
        <f t="shared" si="14"/>
        <v/>
      </c>
      <c r="D150" s="1" t="str">
        <f t="shared" si="15"/>
        <v/>
      </c>
      <c r="E150" s="1" t="str">
        <f t="shared" si="16"/>
        <v/>
      </c>
      <c r="F150" s="1" t="str">
        <f t="shared" si="17"/>
        <v/>
      </c>
      <c r="G150" s="1" t="str">
        <f t="shared" si="18"/>
        <v/>
      </c>
      <c r="H150" s="1" t="e">
        <f t="shared" si="19"/>
        <v>#VALUE!</v>
      </c>
      <c r="I150" s="1" t="str">
        <f t="shared" si="20"/>
        <v/>
      </c>
    </row>
    <row r="151" spans="1:9">
      <c r="A151" s="4" t="str" cm="1">
        <f t="array" ref="A151">IFERROR(INDEX(貼付シート!$B$1:$B$10000,SMALL(貼付シート!$A$1:$A$10000,B151)),"")</f>
        <v/>
      </c>
      <c r="B151" s="1">
        <v>150</v>
      </c>
      <c r="C151" s="1" t="str">
        <f t="shared" si="14"/>
        <v/>
      </c>
      <c r="D151" s="1" t="str">
        <f t="shared" si="15"/>
        <v/>
      </c>
      <c r="E151" s="1" t="str">
        <f t="shared" si="16"/>
        <v/>
      </c>
      <c r="F151" s="1" t="str">
        <f t="shared" si="17"/>
        <v/>
      </c>
      <c r="G151" s="1" t="str">
        <f t="shared" si="18"/>
        <v/>
      </c>
      <c r="H151" s="1" t="e">
        <f t="shared" si="19"/>
        <v>#VALUE!</v>
      </c>
      <c r="I151" s="1" t="str">
        <f t="shared" si="20"/>
        <v/>
      </c>
    </row>
    <row r="152" spans="1:9">
      <c r="A152" s="4" t="str" cm="1">
        <f t="array" ref="A152">IFERROR(INDEX(貼付シート!$B$1:$B$10000,SMALL(貼付シート!$A$1:$A$10000,B152)),"")</f>
        <v/>
      </c>
      <c r="B152" s="1">
        <v>151</v>
      </c>
      <c r="C152" s="1" t="str">
        <f t="shared" si="14"/>
        <v/>
      </c>
      <c r="D152" s="1" t="str">
        <f t="shared" si="15"/>
        <v/>
      </c>
      <c r="E152" s="1" t="str">
        <f t="shared" si="16"/>
        <v/>
      </c>
      <c r="F152" s="1" t="str">
        <f t="shared" si="17"/>
        <v/>
      </c>
      <c r="G152" s="1" t="str">
        <f t="shared" si="18"/>
        <v/>
      </c>
      <c r="H152" s="1" t="e">
        <f t="shared" si="19"/>
        <v>#VALUE!</v>
      </c>
      <c r="I152" s="1" t="str">
        <f t="shared" si="20"/>
        <v/>
      </c>
    </row>
    <row r="153" spans="1:9">
      <c r="A153" s="4" t="str" cm="1">
        <f t="array" ref="A153">IFERROR(INDEX(貼付シート!$B$1:$B$10000,SMALL(貼付シート!$A$1:$A$10000,B153)),"")</f>
        <v/>
      </c>
      <c r="B153" s="1">
        <v>152</v>
      </c>
      <c r="C153" s="1" t="str">
        <f t="shared" si="14"/>
        <v/>
      </c>
      <c r="D153" s="1" t="str">
        <f t="shared" si="15"/>
        <v/>
      </c>
      <c r="E153" s="1" t="str">
        <f t="shared" si="16"/>
        <v/>
      </c>
      <c r="F153" s="1" t="str">
        <f t="shared" si="17"/>
        <v/>
      </c>
      <c r="G153" s="1" t="str">
        <f t="shared" si="18"/>
        <v/>
      </c>
      <c r="H153" s="1" t="e">
        <f t="shared" si="19"/>
        <v>#VALUE!</v>
      </c>
      <c r="I153" s="1" t="str">
        <f t="shared" si="20"/>
        <v/>
      </c>
    </row>
    <row r="154" spans="1:9">
      <c r="A154" s="4" t="str" cm="1">
        <f t="array" ref="A154">IFERROR(INDEX(貼付シート!$B$1:$B$10000,SMALL(貼付シート!$A$1:$A$10000,B154)),"")</f>
        <v/>
      </c>
      <c r="B154" s="1">
        <v>153</v>
      </c>
      <c r="C154" s="1" t="str">
        <f t="shared" si="14"/>
        <v/>
      </c>
      <c r="D154" s="1" t="str">
        <f t="shared" si="15"/>
        <v/>
      </c>
      <c r="E154" s="1" t="str">
        <f t="shared" si="16"/>
        <v/>
      </c>
      <c r="F154" s="1" t="str">
        <f t="shared" si="17"/>
        <v/>
      </c>
      <c r="G154" s="1" t="str">
        <f t="shared" si="18"/>
        <v/>
      </c>
      <c r="H154" s="1" t="e">
        <f t="shared" si="19"/>
        <v>#VALUE!</v>
      </c>
      <c r="I154" s="1" t="str">
        <f t="shared" si="20"/>
        <v/>
      </c>
    </row>
    <row r="155" spans="1:9">
      <c r="A155" s="4" t="str" cm="1">
        <f t="array" ref="A155">IFERROR(INDEX(貼付シート!$B$1:$B$10000,SMALL(貼付シート!$A$1:$A$10000,B155)),"")</f>
        <v/>
      </c>
      <c r="B155" s="1">
        <v>154</v>
      </c>
      <c r="C155" s="1" t="str">
        <f t="shared" si="14"/>
        <v/>
      </c>
      <c r="D155" s="1" t="str">
        <f t="shared" si="15"/>
        <v/>
      </c>
      <c r="E155" s="1" t="str">
        <f t="shared" si="16"/>
        <v/>
      </c>
      <c r="F155" s="1" t="str">
        <f t="shared" si="17"/>
        <v/>
      </c>
      <c r="G155" s="1" t="str">
        <f t="shared" si="18"/>
        <v/>
      </c>
      <c r="H155" s="1" t="e">
        <f t="shared" si="19"/>
        <v>#VALUE!</v>
      </c>
      <c r="I155" s="1" t="str">
        <f t="shared" si="20"/>
        <v/>
      </c>
    </row>
    <row r="156" spans="1:9">
      <c r="A156" s="4" t="str" cm="1">
        <f t="array" ref="A156">IFERROR(INDEX(貼付シート!$B$1:$B$10000,SMALL(貼付シート!$A$1:$A$10000,B156)),"")</f>
        <v/>
      </c>
      <c r="B156" s="1">
        <v>155</v>
      </c>
      <c r="C156" s="1" t="str">
        <f t="shared" si="14"/>
        <v/>
      </c>
      <c r="D156" s="1" t="str">
        <f t="shared" si="15"/>
        <v/>
      </c>
      <c r="E156" s="1" t="str">
        <f t="shared" si="16"/>
        <v/>
      </c>
      <c r="F156" s="1" t="str">
        <f t="shared" si="17"/>
        <v/>
      </c>
      <c r="G156" s="1" t="str">
        <f t="shared" si="18"/>
        <v/>
      </c>
      <c r="H156" s="1" t="e">
        <f t="shared" si="19"/>
        <v>#VALUE!</v>
      </c>
      <c r="I156" s="1" t="str">
        <f t="shared" si="20"/>
        <v/>
      </c>
    </row>
    <row r="157" spans="1:9">
      <c r="A157" s="4" t="str" cm="1">
        <f t="array" ref="A157">IFERROR(INDEX(貼付シート!$B$1:$B$10000,SMALL(貼付シート!$A$1:$A$10000,B157)),"")</f>
        <v/>
      </c>
      <c r="B157" s="1">
        <v>156</v>
      </c>
      <c r="C157" s="1" t="str">
        <f t="shared" si="14"/>
        <v/>
      </c>
      <c r="D157" s="1" t="str">
        <f t="shared" si="15"/>
        <v/>
      </c>
      <c r="E157" s="1" t="str">
        <f t="shared" si="16"/>
        <v/>
      </c>
      <c r="F157" s="1" t="str">
        <f t="shared" si="17"/>
        <v/>
      </c>
      <c r="G157" s="1" t="str">
        <f t="shared" si="18"/>
        <v/>
      </c>
      <c r="H157" s="1" t="e">
        <f t="shared" si="19"/>
        <v>#VALUE!</v>
      </c>
      <c r="I157" s="1" t="str">
        <f t="shared" si="20"/>
        <v/>
      </c>
    </row>
    <row r="158" spans="1:9">
      <c r="A158" s="4" t="str" cm="1">
        <f t="array" ref="A158">IFERROR(INDEX(貼付シート!$B$1:$B$10000,SMALL(貼付シート!$A$1:$A$10000,B158)),"")</f>
        <v/>
      </c>
      <c r="B158" s="1">
        <v>157</v>
      </c>
      <c r="C158" s="1" t="str">
        <f t="shared" si="14"/>
        <v/>
      </c>
      <c r="D158" s="1" t="str">
        <f t="shared" si="15"/>
        <v/>
      </c>
      <c r="E158" s="1" t="str">
        <f t="shared" si="16"/>
        <v/>
      </c>
      <c r="F158" s="1" t="str">
        <f t="shared" si="17"/>
        <v/>
      </c>
      <c r="G158" s="1" t="str">
        <f t="shared" si="18"/>
        <v/>
      </c>
      <c r="H158" s="1" t="e">
        <f t="shared" si="19"/>
        <v>#VALUE!</v>
      </c>
      <c r="I158" s="1" t="str">
        <f t="shared" si="20"/>
        <v/>
      </c>
    </row>
    <row r="159" spans="1:9">
      <c r="A159" s="4" t="str" cm="1">
        <f t="array" ref="A159">IFERROR(INDEX(貼付シート!$B$1:$B$10000,SMALL(貼付シート!$A$1:$A$10000,B159)),"")</f>
        <v/>
      </c>
      <c r="B159" s="1">
        <v>158</v>
      </c>
      <c r="C159" s="1" t="str">
        <f t="shared" si="14"/>
        <v/>
      </c>
      <c r="D159" s="1" t="str">
        <f t="shared" si="15"/>
        <v/>
      </c>
      <c r="E159" s="1" t="str">
        <f t="shared" si="16"/>
        <v/>
      </c>
      <c r="F159" s="1" t="str">
        <f t="shared" si="17"/>
        <v/>
      </c>
      <c r="G159" s="1" t="str">
        <f t="shared" si="18"/>
        <v/>
      </c>
      <c r="H159" s="1" t="e">
        <f t="shared" si="19"/>
        <v>#VALUE!</v>
      </c>
      <c r="I159" s="1" t="str">
        <f t="shared" si="20"/>
        <v/>
      </c>
    </row>
    <row r="160" spans="1:9">
      <c r="A160" s="4" t="str" cm="1">
        <f t="array" ref="A160">IFERROR(INDEX(貼付シート!$B$1:$B$10000,SMALL(貼付シート!$A$1:$A$10000,B160)),"")</f>
        <v/>
      </c>
      <c r="B160" s="1">
        <v>159</v>
      </c>
      <c r="C160" s="1" t="str">
        <f t="shared" si="14"/>
        <v/>
      </c>
      <c r="D160" s="1" t="str">
        <f t="shared" si="15"/>
        <v/>
      </c>
      <c r="E160" s="1" t="str">
        <f t="shared" si="16"/>
        <v/>
      </c>
      <c r="F160" s="1" t="str">
        <f t="shared" si="17"/>
        <v/>
      </c>
      <c r="G160" s="1" t="str">
        <f t="shared" si="18"/>
        <v/>
      </c>
      <c r="H160" s="1" t="e">
        <f t="shared" si="19"/>
        <v>#VALUE!</v>
      </c>
      <c r="I160" s="1" t="str">
        <f t="shared" si="20"/>
        <v/>
      </c>
    </row>
    <row r="161" spans="1:9">
      <c r="A161" s="4" t="str" cm="1">
        <f t="array" ref="A161">IFERROR(INDEX(貼付シート!$B$1:$B$10000,SMALL(貼付シート!$A$1:$A$10000,B161)),"")</f>
        <v/>
      </c>
      <c r="B161" s="1">
        <v>160</v>
      </c>
      <c r="C161" s="1" t="str">
        <f t="shared" si="14"/>
        <v/>
      </c>
      <c r="D161" s="1" t="str">
        <f t="shared" si="15"/>
        <v/>
      </c>
      <c r="E161" s="1" t="str">
        <f t="shared" si="16"/>
        <v/>
      </c>
      <c r="F161" s="1" t="str">
        <f t="shared" si="17"/>
        <v/>
      </c>
      <c r="G161" s="1" t="str">
        <f t="shared" si="18"/>
        <v/>
      </c>
      <c r="H161" s="1" t="e">
        <f t="shared" si="19"/>
        <v>#VALUE!</v>
      </c>
      <c r="I161" s="1" t="str">
        <f t="shared" si="20"/>
        <v/>
      </c>
    </row>
    <row r="162" spans="1:9">
      <c r="A162" s="4" t="str" cm="1">
        <f t="array" ref="A162">IFERROR(INDEX(貼付シート!$B$1:$B$10000,SMALL(貼付シート!$A$1:$A$10000,B162)),"")</f>
        <v/>
      </c>
      <c r="B162" s="1">
        <v>161</v>
      </c>
      <c r="C162" s="1" t="str">
        <f t="shared" si="14"/>
        <v/>
      </c>
      <c r="D162" s="1" t="str">
        <f t="shared" si="15"/>
        <v/>
      </c>
      <c r="E162" s="1" t="str">
        <f t="shared" si="16"/>
        <v/>
      </c>
      <c r="F162" s="1" t="str">
        <f t="shared" si="17"/>
        <v/>
      </c>
      <c r="G162" s="1" t="str">
        <f t="shared" si="18"/>
        <v/>
      </c>
      <c r="H162" s="1" t="e">
        <f t="shared" si="19"/>
        <v>#VALUE!</v>
      </c>
      <c r="I162" s="1" t="str">
        <f t="shared" si="20"/>
        <v/>
      </c>
    </row>
    <row r="163" spans="1:9">
      <c r="A163" s="4" t="str" cm="1">
        <f t="array" ref="A163">IFERROR(INDEX(貼付シート!$B$1:$B$10000,SMALL(貼付シート!$A$1:$A$10000,B163)),"")</f>
        <v/>
      </c>
      <c r="B163" s="1">
        <v>162</v>
      </c>
      <c r="C163" s="1" t="str">
        <f t="shared" si="14"/>
        <v/>
      </c>
      <c r="D163" s="1" t="str">
        <f t="shared" si="15"/>
        <v/>
      </c>
      <c r="E163" s="1" t="str">
        <f t="shared" si="16"/>
        <v/>
      </c>
      <c r="F163" s="1" t="str">
        <f t="shared" si="17"/>
        <v/>
      </c>
      <c r="G163" s="1" t="str">
        <f t="shared" si="18"/>
        <v/>
      </c>
      <c r="H163" s="1" t="e">
        <f t="shared" si="19"/>
        <v>#VALUE!</v>
      </c>
      <c r="I163" s="1" t="str">
        <f t="shared" si="20"/>
        <v/>
      </c>
    </row>
    <row r="164" spans="1:9">
      <c r="A164" s="4" t="str" cm="1">
        <f t="array" ref="A164">IFERROR(INDEX(貼付シート!$B$1:$B$10000,SMALL(貼付シート!$A$1:$A$10000,B164)),"")</f>
        <v/>
      </c>
      <c r="B164" s="1">
        <v>163</v>
      </c>
      <c r="C164" s="1" t="str">
        <f t="shared" si="14"/>
        <v/>
      </c>
      <c r="D164" s="1" t="str">
        <f t="shared" si="15"/>
        <v/>
      </c>
      <c r="E164" s="1" t="str">
        <f t="shared" si="16"/>
        <v/>
      </c>
      <c r="F164" s="1" t="str">
        <f t="shared" si="17"/>
        <v/>
      </c>
      <c r="G164" s="1" t="str">
        <f t="shared" si="18"/>
        <v/>
      </c>
      <c r="H164" s="1" t="e">
        <f t="shared" si="19"/>
        <v>#VALUE!</v>
      </c>
      <c r="I164" s="1" t="str">
        <f t="shared" si="20"/>
        <v/>
      </c>
    </row>
    <row r="165" spans="1:9">
      <c r="A165" s="4" t="str" cm="1">
        <f t="array" ref="A165">IFERROR(INDEX(貼付シート!$B$1:$B$10000,SMALL(貼付シート!$A$1:$A$10000,B165)),"")</f>
        <v/>
      </c>
      <c r="B165" s="1">
        <v>164</v>
      </c>
      <c r="C165" s="1" t="str">
        <f t="shared" si="14"/>
        <v/>
      </c>
      <c r="D165" s="1" t="str">
        <f t="shared" si="15"/>
        <v/>
      </c>
      <c r="E165" s="1" t="str">
        <f t="shared" si="16"/>
        <v/>
      </c>
      <c r="F165" s="1" t="str">
        <f t="shared" si="17"/>
        <v/>
      </c>
      <c r="G165" s="1" t="str">
        <f t="shared" si="18"/>
        <v/>
      </c>
      <c r="H165" s="1" t="e">
        <f t="shared" si="19"/>
        <v>#VALUE!</v>
      </c>
      <c r="I165" s="1" t="str">
        <f t="shared" si="20"/>
        <v/>
      </c>
    </row>
    <row r="166" spans="1:9">
      <c r="A166" s="4" t="str" cm="1">
        <f t="array" ref="A166">IFERROR(INDEX(貼付シート!$B$1:$B$10000,SMALL(貼付シート!$A$1:$A$10000,B166)),"")</f>
        <v/>
      </c>
      <c r="B166" s="1">
        <v>165</v>
      </c>
      <c r="C166" s="1" t="str">
        <f t="shared" si="14"/>
        <v/>
      </c>
      <c r="D166" s="1" t="str">
        <f t="shared" si="15"/>
        <v/>
      </c>
      <c r="E166" s="1" t="str">
        <f t="shared" si="16"/>
        <v/>
      </c>
      <c r="F166" s="1" t="str">
        <f t="shared" si="17"/>
        <v/>
      </c>
      <c r="G166" s="1" t="str">
        <f t="shared" si="18"/>
        <v/>
      </c>
      <c r="H166" s="1" t="e">
        <f t="shared" si="19"/>
        <v>#VALUE!</v>
      </c>
      <c r="I166" s="1" t="str">
        <f t="shared" si="20"/>
        <v/>
      </c>
    </row>
    <row r="167" spans="1:9">
      <c r="A167" s="4" t="str" cm="1">
        <f t="array" ref="A167">IFERROR(INDEX(貼付シート!$B$1:$B$10000,SMALL(貼付シート!$A$1:$A$10000,B167)),"")</f>
        <v/>
      </c>
      <c r="B167" s="1">
        <v>166</v>
      </c>
      <c r="C167" s="1" t="str">
        <f t="shared" si="14"/>
        <v/>
      </c>
      <c r="D167" s="1" t="str">
        <f t="shared" si="15"/>
        <v/>
      </c>
      <c r="E167" s="1" t="str">
        <f t="shared" si="16"/>
        <v/>
      </c>
      <c r="F167" s="1" t="str">
        <f t="shared" si="17"/>
        <v/>
      </c>
      <c r="G167" s="1" t="str">
        <f t="shared" si="18"/>
        <v/>
      </c>
      <c r="H167" s="1" t="e">
        <f t="shared" si="19"/>
        <v>#VALUE!</v>
      </c>
      <c r="I167" s="1" t="str">
        <f t="shared" si="20"/>
        <v/>
      </c>
    </row>
    <row r="168" spans="1:9">
      <c r="A168" s="4" t="str" cm="1">
        <f t="array" ref="A168">IFERROR(INDEX(貼付シート!$B$1:$B$10000,SMALL(貼付シート!$A$1:$A$10000,B168)),"")</f>
        <v/>
      </c>
      <c r="B168" s="1">
        <v>167</v>
      </c>
      <c r="C168" s="1" t="str">
        <f t="shared" si="14"/>
        <v/>
      </c>
      <c r="D168" s="1" t="str">
        <f t="shared" si="15"/>
        <v/>
      </c>
      <c r="E168" s="1" t="str">
        <f t="shared" si="16"/>
        <v/>
      </c>
      <c r="F168" s="1" t="str">
        <f t="shared" si="17"/>
        <v/>
      </c>
      <c r="G168" s="1" t="str">
        <f t="shared" si="18"/>
        <v/>
      </c>
      <c r="H168" s="1" t="e">
        <f t="shared" si="19"/>
        <v>#VALUE!</v>
      </c>
      <c r="I168" s="1" t="str">
        <f t="shared" si="20"/>
        <v/>
      </c>
    </row>
    <row r="169" spans="1:9">
      <c r="A169" s="4" t="str" cm="1">
        <f t="array" ref="A169">IFERROR(INDEX(貼付シート!$B$1:$B$10000,SMALL(貼付シート!$A$1:$A$10000,B169)),"")</f>
        <v/>
      </c>
      <c r="B169" s="1">
        <v>168</v>
      </c>
      <c r="C169" s="1" t="str">
        <f t="shared" si="14"/>
        <v/>
      </c>
      <c r="D169" s="1" t="str">
        <f t="shared" si="15"/>
        <v/>
      </c>
      <c r="E169" s="1" t="str">
        <f t="shared" si="16"/>
        <v/>
      </c>
      <c r="F169" s="1" t="str">
        <f t="shared" si="17"/>
        <v/>
      </c>
      <c r="G169" s="1" t="str">
        <f t="shared" si="18"/>
        <v/>
      </c>
      <c r="H169" s="1" t="e">
        <f t="shared" si="19"/>
        <v>#VALUE!</v>
      </c>
      <c r="I169" s="1" t="str">
        <f t="shared" si="20"/>
        <v/>
      </c>
    </row>
    <row r="170" spans="1:9">
      <c r="A170" s="4" t="str" cm="1">
        <f t="array" ref="A170">IFERROR(INDEX(貼付シート!$B$1:$B$10000,SMALL(貼付シート!$A$1:$A$10000,B170)),"")</f>
        <v/>
      </c>
      <c r="B170" s="1">
        <v>169</v>
      </c>
      <c r="C170" s="1" t="str">
        <f t="shared" si="14"/>
        <v/>
      </c>
      <c r="D170" s="1" t="str">
        <f t="shared" si="15"/>
        <v/>
      </c>
      <c r="E170" s="1" t="str">
        <f t="shared" si="16"/>
        <v/>
      </c>
      <c r="F170" s="1" t="str">
        <f t="shared" si="17"/>
        <v/>
      </c>
      <c r="G170" s="1" t="str">
        <f t="shared" si="18"/>
        <v/>
      </c>
      <c r="H170" s="1" t="e">
        <f t="shared" si="19"/>
        <v>#VALUE!</v>
      </c>
      <c r="I170" s="1" t="str">
        <f t="shared" si="20"/>
        <v/>
      </c>
    </row>
    <row r="171" spans="1:9">
      <c r="A171" s="4" t="str" cm="1">
        <f t="array" ref="A171">IFERROR(INDEX(貼付シート!$B$1:$B$10000,SMALL(貼付シート!$A$1:$A$10000,B171)),"")</f>
        <v/>
      </c>
      <c r="B171" s="1">
        <v>170</v>
      </c>
      <c r="C171" s="1" t="str">
        <f t="shared" si="14"/>
        <v/>
      </c>
      <c r="D171" s="1" t="str">
        <f t="shared" si="15"/>
        <v/>
      </c>
      <c r="E171" s="1" t="str">
        <f t="shared" si="16"/>
        <v/>
      </c>
      <c r="F171" s="1" t="str">
        <f t="shared" si="17"/>
        <v/>
      </c>
      <c r="G171" s="1" t="str">
        <f t="shared" si="18"/>
        <v/>
      </c>
      <c r="H171" s="1" t="e">
        <f t="shared" si="19"/>
        <v>#VALUE!</v>
      </c>
      <c r="I171" s="1" t="str">
        <f t="shared" si="20"/>
        <v/>
      </c>
    </row>
    <row r="172" spans="1:9">
      <c r="A172" s="4" t="str" cm="1">
        <f t="array" ref="A172">IFERROR(INDEX(貼付シート!$B$1:$B$10000,SMALL(貼付シート!$A$1:$A$10000,B172)),"")</f>
        <v/>
      </c>
      <c r="B172" s="1">
        <v>171</v>
      </c>
      <c r="C172" s="1" t="str">
        <f t="shared" si="14"/>
        <v/>
      </c>
      <c r="D172" s="1" t="str">
        <f t="shared" si="15"/>
        <v/>
      </c>
      <c r="E172" s="1" t="str">
        <f t="shared" si="16"/>
        <v/>
      </c>
      <c r="F172" s="1" t="str">
        <f t="shared" si="17"/>
        <v/>
      </c>
      <c r="G172" s="1" t="str">
        <f t="shared" si="18"/>
        <v/>
      </c>
      <c r="H172" s="1" t="e">
        <f t="shared" si="19"/>
        <v>#VALUE!</v>
      </c>
      <c r="I172" s="1" t="str">
        <f t="shared" si="20"/>
        <v/>
      </c>
    </row>
    <row r="173" spans="1:9">
      <c r="A173" s="4" t="str" cm="1">
        <f t="array" ref="A173">IFERROR(INDEX(貼付シート!$B$1:$B$10000,SMALL(貼付シート!$A$1:$A$10000,B173)),"")</f>
        <v/>
      </c>
      <c r="B173" s="1">
        <v>172</v>
      </c>
      <c r="C173" s="1" t="str">
        <f t="shared" si="14"/>
        <v/>
      </c>
      <c r="D173" s="1" t="str">
        <f t="shared" si="15"/>
        <v/>
      </c>
      <c r="E173" s="1" t="str">
        <f t="shared" si="16"/>
        <v/>
      </c>
      <c r="F173" s="1" t="str">
        <f t="shared" si="17"/>
        <v/>
      </c>
      <c r="G173" s="1" t="str">
        <f t="shared" si="18"/>
        <v/>
      </c>
      <c r="H173" s="1" t="e">
        <f t="shared" si="19"/>
        <v>#VALUE!</v>
      </c>
      <c r="I173" s="1" t="str">
        <f t="shared" si="20"/>
        <v/>
      </c>
    </row>
    <row r="174" spans="1:9">
      <c r="A174" s="4" t="str" cm="1">
        <f t="array" ref="A174">IFERROR(INDEX(貼付シート!$B$1:$B$10000,SMALL(貼付シート!$A$1:$A$10000,B174)),"")</f>
        <v/>
      </c>
      <c r="B174" s="1">
        <v>173</v>
      </c>
      <c r="C174" s="1" t="str">
        <f t="shared" si="14"/>
        <v/>
      </c>
      <c r="D174" s="1" t="str">
        <f t="shared" si="15"/>
        <v/>
      </c>
      <c r="E174" s="1" t="str">
        <f t="shared" si="16"/>
        <v/>
      </c>
      <c r="F174" s="1" t="str">
        <f t="shared" si="17"/>
        <v/>
      </c>
      <c r="G174" s="1" t="str">
        <f t="shared" si="18"/>
        <v/>
      </c>
      <c r="H174" s="1" t="e">
        <f t="shared" si="19"/>
        <v>#VALUE!</v>
      </c>
      <c r="I174" s="1" t="str">
        <f t="shared" si="20"/>
        <v/>
      </c>
    </row>
    <row r="175" spans="1:9">
      <c r="A175" s="4" t="str" cm="1">
        <f t="array" ref="A175">IFERROR(INDEX(貼付シート!$B$1:$B$10000,SMALL(貼付シート!$A$1:$A$10000,B175)),"")</f>
        <v/>
      </c>
      <c r="B175" s="1">
        <v>174</v>
      </c>
      <c r="C175" s="1" t="str">
        <f t="shared" si="14"/>
        <v/>
      </c>
      <c r="D175" s="1" t="str">
        <f t="shared" si="15"/>
        <v/>
      </c>
      <c r="E175" s="1" t="str">
        <f t="shared" si="16"/>
        <v/>
      </c>
      <c r="F175" s="1" t="str">
        <f t="shared" si="17"/>
        <v/>
      </c>
      <c r="G175" s="1" t="str">
        <f t="shared" si="18"/>
        <v/>
      </c>
      <c r="H175" s="1" t="e">
        <f t="shared" si="19"/>
        <v>#VALUE!</v>
      </c>
      <c r="I175" s="1" t="str">
        <f t="shared" si="20"/>
        <v/>
      </c>
    </row>
    <row r="176" spans="1:9">
      <c r="A176" s="4" t="str" cm="1">
        <f t="array" ref="A176">IFERROR(INDEX(貼付シート!$B$1:$B$10000,SMALL(貼付シート!$A$1:$A$10000,B176)),"")</f>
        <v/>
      </c>
      <c r="B176" s="1">
        <v>175</v>
      </c>
      <c r="C176" s="1" t="str">
        <f t="shared" si="14"/>
        <v/>
      </c>
      <c r="D176" s="1" t="str">
        <f t="shared" si="15"/>
        <v/>
      </c>
      <c r="E176" s="1" t="str">
        <f t="shared" si="16"/>
        <v/>
      </c>
      <c r="F176" s="1" t="str">
        <f t="shared" si="17"/>
        <v/>
      </c>
      <c r="G176" s="1" t="str">
        <f t="shared" si="18"/>
        <v/>
      </c>
      <c r="H176" s="1" t="e">
        <f t="shared" si="19"/>
        <v>#VALUE!</v>
      </c>
      <c r="I176" s="1" t="str">
        <f t="shared" si="20"/>
        <v/>
      </c>
    </row>
    <row r="177" spans="1:9">
      <c r="A177" s="4" t="str" cm="1">
        <f t="array" ref="A177">IFERROR(INDEX(貼付シート!$B$1:$B$10000,SMALL(貼付シート!$A$1:$A$10000,B177)),"")</f>
        <v/>
      </c>
      <c r="B177" s="1">
        <v>176</v>
      </c>
      <c r="C177" s="1" t="str">
        <f t="shared" si="14"/>
        <v/>
      </c>
      <c r="D177" s="1" t="str">
        <f t="shared" si="15"/>
        <v/>
      </c>
      <c r="E177" s="1" t="str">
        <f t="shared" si="16"/>
        <v/>
      </c>
      <c r="F177" s="1" t="str">
        <f t="shared" si="17"/>
        <v/>
      </c>
      <c r="G177" s="1" t="str">
        <f t="shared" si="18"/>
        <v/>
      </c>
      <c r="H177" s="1" t="e">
        <f t="shared" si="19"/>
        <v>#VALUE!</v>
      </c>
      <c r="I177" s="1" t="str">
        <f t="shared" si="20"/>
        <v/>
      </c>
    </row>
    <row r="178" spans="1:9">
      <c r="A178" s="4" t="str" cm="1">
        <f t="array" ref="A178">IFERROR(INDEX(貼付シート!$B$1:$B$10000,SMALL(貼付シート!$A$1:$A$10000,B178)),"")</f>
        <v/>
      </c>
      <c r="B178" s="1">
        <v>177</v>
      </c>
      <c r="C178" s="1" t="str">
        <f t="shared" si="14"/>
        <v/>
      </c>
      <c r="D178" s="1" t="str">
        <f t="shared" si="15"/>
        <v/>
      </c>
      <c r="E178" s="1" t="str">
        <f t="shared" si="16"/>
        <v/>
      </c>
      <c r="F178" s="1" t="str">
        <f t="shared" si="17"/>
        <v/>
      </c>
      <c r="G178" s="1" t="str">
        <f t="shared" si="18"/>
        <v/>
      </c>
      <c r="H178" s="1" t="e">
        <f t="shared" si="19"/>
        <v>#VALUE!</v>
      </c>
      <c r="I178" s="1" t="str">
        <f t="shared" si="20"/>
        <v/>
      </c>
    </row>
    <row r="179" spans="1:9">
      <c r="A179" s="4" t="str" cm="1">
        <f t="array" ref="A179">IFERROR(INDEX(貼付シート!$B$1:$B$10000,SMALL(貼付シート!$A$1:$A$10000,B179)),"")</f>
        <v/>
      </c>
      <c r="B179" s="1">
        <v>178</v>
      </c>
      <c r="C179" s="1" t="str">
        <f t="shared" si="14"/>
        <v/>
      </c>
      <c r="D179" s="1" t="str">
        <f t="shared" si="15"/>
        <v/>
      </c>
      <c r="E179" s="1" t="str">
        <f t="shared" si="16"/>
        <v/>
      </c>
      <c r="F179" s="1" t="str">
        <f t="shared" si="17"/>
        <v/>
      </c>
      <c r="G179" s="1" t="str">
        <f t="shared" si="18"/>
        <v/>
      </c>
      <c r="H179" s="1" t="e">
        <f t="shared" si="19"/>
        <v>#VALUE!</v>
      </c>
      <c r="I179" s="1" t="str">
        <f t="shared" si="20"/>
        <v/>
      </c>
    </row>
    <row r="180" spans="1:9">
      <c r="A180" s="4" t="str" cm="1">
        <f t="array" ref="A180">IFERROR(INDEX(貼付シート!$B$1:$B$10000,SMALL(貼付シート!$A$1:$A$10000,B180)),"")</f>
        <v/>
      </c>
      <c r="B180" s="1">
        <v>179</v>
      </c>
      <c r="C180" s="1" t="str">
        <f t="shared" si="14"/>
        <v/>
      </c>
      <c r="D180" s="1" t="str">
        <f t="shared" si="15"/>
        <v/>
      </c>
      <c r="E180" s="1" t="str">
        <f t="shared" si="16"/>
        <v/>
      </c>
      <c r="F180" s="1" t="str">
        <f t="shared" si="17"/>
        <v/>
      </c>
      <c r="G180" s="1" t="str">
        <f t="shared" si="18"/>
        <v/>
      </c>
      <c r="H180" s="1" t="e">
        <f t="shared" si="19"/>
        <v>#VALUE!</v>
      </c>
      <c r="I180" s="1" t="str">
        <f t="shared" si="20"/>
        <v/>
      </c>
    </row>
    <row r="181" spans="1:9">
      <c r="A181" s="4" t="str" cm="1">
        <f t="array" ref="A181">IFERROR(INDEX(貼付シート!$B$1:$B$10000,SMALL(貼付シート!$A$1:$A$10000,B181)),"")</f>
        <v/>
      </c>
      <c r="B181" s="1">
        <v>180</v>
      </c>
      <c r="C181" s="1" t="str">
        <f t="shared" si="14"/>
        <v/>
      </c>
      <c r="D181" s="1" t="str">
        <f t="shared" si="15"/>
        <v/>
      </c>
      <c r="E181" s="1" t="str">
        <f t="shared" si="16"/>
        <v/>
      </c>
      <c r="F181" s="1" t="str">
        <f t="shared" si="17"/>
        <v/>
      </c>
      <c r="G181" s="1" t="str">
        <f t="shared" si="18"/>
        <v/>
      </c>
      <c r="H181" s="1" t="e">
        <f t="shared" si="19"/>
        <v>#VALUE!</v>
      </c>
      <c r="I181" s="1" t="str">
        <f t="shared" si="20"/>
        <v/>
      </c>
    </row>
    <row r="182" spans="1:9">
      <c r="A182" s="4" t="str" cm="1">
        <f t="array" ref="A182">IFERROR(INDEX(貼付シート!$B$1:$B$10000,SMALL(貼付シート!$A$1:$A$10000,B182)),"")</f>
        <v/>
      </c>
      <c r="B182" s="1">
        <v>181</v>
      </c>
      <c r="C182" s="1" t="str">
        <f t="shared" si="14"/>
        <v/>
      </c>
      <c r="D182" s="1" t="str">
        <f t="shared" si="15"/>
        <v/>
      </c>
      <c r="E182" s="1" t="str">
        <f t="shared" si="16"/>
        <v/>
      </c>
      <c r="F182" s="1" t="str">
        <f t="shared" si="17"/>
        <v/>
      </c>
      <c r="G182" s="1" t="str">
        <f t="shared" si="18"/>
        <v/>
      </c>
      <c r="H182" s="1" t="e">
        <f t="shared" si="19"/>
        <v>#VALUE!</v>
      </c>
      <c r="I182" s="1" t="str">
        <f t="shared" si="20"/>
        <v/>
      </c>
    </row>
    <row r="183" spans="1:9">
      <c r="A183" s="4" t="str" cm="1">
        <f t="array" ref="A183">IFERROR(INDEX(貼付シート!$B$1:$B$10000,SMALL(貼付シート!$A$1:$A$10000,B183)),"")</f>
        <v/>
      </c>
      <c r="B183" s="1">
        <v>182</v>
      </c>
      <c r="C183" s="1" t="str">
        <f t="shared" si="14"/>
        <v/>
      </c>
      <c r="D183" s="1" t="str">
        <f t="shared" si="15"/>
        <v/>
      </c>
      <c r="E183" s="1" t="str">
        <f t="shared" si="16"/>
        <v/>
      </c>
      <c r="F183" s="1" t="str">
        <f t="shared" si="17"/>
        <v/>
      </c>
      <c r="G183" s="1" t="str">
        <f t="shared" si="18"/>
        <v/>
      </c>
      <c r="H183" s="1" t="e">
        <f t="shared" si="19"/>
        <v>#VALUE!</v>
      </c>
      <c r="I183" s="1" t="str">
        <f t="shared" si="20"/>
        <v/>
      </c>
    </row>
    <row r="184" spans="1:9">
      <c r="A184" s="4" t="str" cm="1">
        <f t="array" ref="A184">IFERROR(INDEX(貼付シート!$B$1:$B$10000,SMALL(貼付シート!$A$1:$A$10000,B184)),"")</f>
        <v/>
      </c>
      <c r="B184" s="1">
        <v>183</v>
      </c>
      <c r="C184" s="1" t="str">
        <f t="shared" si="14"/>
        <v/>
      </c>
      <c r="D184" s="1" t="str">
        <f t="shared" si="15"/>
        <v/>
      </c>
      <c r="E184" s="1" t="str">
        <f t="shared" si="16"/>
        <v/>
      </c>
      <c r="F184" s="1" t="str">
        <f t="shared" si="17"/>
        <v/>
      </c>
      <c r="G184" s="1" t="str">
        <f t="shared" si="18"/>
        <v/>
      </c>
      <c r="H184" s="1" t="e">
        <f t="shared" si="19"/>
        <v>#VALUE!</v>
      </c>
      <c r="I184" s="1" t="str">
        <f t="shared" si="20"/>
        <v/>
      </c>
    </row>
    <row r="185" spans="1:9">
      <c r="A185" s="4" t="str" cm="1">
        <f t="array" ref="A185">IFERROR(INDEX(貼付シート!$B$1:$B$10000,SMALL(貼付シート!$A$1:$A$10000,B185)),"")</f>
        <v/>
      </c>
      <c r="B185" s="1">
        <v>184</v>
      </c>
      <c r="C185" s="1" t="str">
        <f t="shared" si="14"/>
        <v/>
      </c>
      <c r="D185" s="1" t="str">
        <f t="shared" si="15"/>
        <v/>
      </c>
      <c r="E185" s="1" t="str">
        <f t="shared" si="16"/>
        <v/>
      </c>
      <c r="F185" s="1" t="str">
        <f t="shared" si="17"/>
        <v/>
      </c>
      <c r="G185" s="1" t="str">
        <f t="shared" si="18"/>
        <v/>
      </c>
      <c r="H185" s="1" t="e">
        <f t="shared" si="19"/>
        <v>#VALUE!</v>
      </c>
      <c r="I185" s="1" t="str">
        <f t="shared" si="20"/>
        <v/>
      </c>
    </row>
    <row r="186" spans="1:9">
      <c r="A186" s="4" t="str" cm="1">
        <f t="array" ref="A186">IFERROR(INDEX(貼付シート!$B$1:$B$10000,SMALL(貼付シート!$A$1:$A$10000,B186)),"")</f>
        <v/>
      </c>
      <c r="B186" s="1">
        <v>185</v>
      </c>
      <c r="C186" s="1" t="str">
        <f t="shared" si="14"/>
        <v/>
      </c>
      <c r="D186" s="1" t="str">
        <f t="shared" si="15"/>
        <v/>
      </c>
      <c r="E186" s="1" t="str">
        <f t="shared" si="16"/>
        <v/>
      </c>
      <c r="F186" s="1" t="str">
        <f t="shared" si="17"/>
        <v/>
      </c>
      <c r="G186" s="1" t="str">
        <f t="shared" si="18"/>
        <v/>
      </c>
      <c r="H186" s="1" t="e">
        <f t="shared" si="19"/>
        <v>#VALUE!</v>
      </c>
      <c r="I186" s="1" t="str">
        <f t="shared" si="20"/>
        <v/>
      </c>
    </row>
    <row r="187" spans="1:9">
      <c r="A187" s="4" t="str" cm="1">
        <f t="array" ref="A187">IFERROR(INDEX(貼付シート!$B$1:$B$10000,SMALL(貼付シート!$A$1:$A$10000,B187)),"")</f>
        <v/>
      </c>
      <c r="B187" s="1">
        <v>186</v>
      </c>
      <c r="C187" s="1" t="str">
        <f t="shared" si="14"/>
        <v/>
      </c>
      <c r="D187" s="1" t="str">
        <f t="shared" si="15"/>
        <v/>
      </c>
      <c r="E187" s="1" t="str">
        <f t="shared" si="16"/>
        <v/>
      </c>
      <c r="F187" s="1" t="str">
        <f t="shared" si="17"/>
        <v/>
      </c>
      <c r="G187" s="1" t="str">
        <f t="shared" si="18"/>
        <v/>
      </c>
      <c r="H187" s="1" t="e">
        <f t="shared" si="19"/>
        <v>#VALUE!</v>
      </c>
      <c r="I187" s="1" t="str">
        <f t="shared" si="20"/>
        <v/>
      </c>
    </row>
    <row r="188" spans="1:9">
      <c r="A188" s="4" t="str" cm="1">
        <f t="array" ref="A188">IFERROR(INDEX(貼付シート!$B$1:$B$10000,SMALL(貼付シート!$A$1:$A$10000,B188)),"")</f>
        <v/>
      </c>
      <c r="B188" s="1">
        <v>187</v>
      </c>
      <c r="C188" s="1" t="str">
        <f t="shared" si="14"/>
        <v/>
      </c>
      <c r="D188" s="1" t="str">
        <f t="shared" si="15"/>
        <v/>
      </c>
      <c r="E188" s="1" t="str">
        <f t="shared" si="16"/>
        <v/>
      </c>
      <c r="F188" s="1" t="str">
        <f t="shared" si="17"/>
        <v/>
      </c>
      <c r="G188" s="1" t="str">
        <f t="shared" si="18"/>
        <v/>
      </c>
      <c r="H188" s="1" t="e">
        <f t="shared" si="19"/>
        <v>#VALUE!</v>
      </c>
      <c r="I188" s="1" t="str">
        <f t="shared" si="20"/>
        <v/>
      </c>
    </row>
    <row r="189" spans="1:9">
      <c r="A189" s="4" t="str" cm="1">
        <f t="array" ref="A189">IFERROR(INDEX(貼付シート!$B$1:$B$10000,SMALL(貼付シート!$A$1:$A$10000,B189)),"")</f>
        <v/>
      </c>
      <c r="B189" s="1">
        <v>188</v>
      </c>
      <c r="C189" s="1" t="str">
        <f t="shared" si="14"/>
        <v/>
      </c>
      <c r="D189" s="1" t="str">
        <f t="shared" si="15"/>
        <v/>
      </c>
      <c r="E189" s="1" t="str">
        <f t="shared" si="16"/>
        <v/>
      </c>
      <c r="F189" s="1" t="str">
        <f t="shared" si="17"/>
        <v/>
      </c>
      <c r="G189" s="1" t="str">
        <f t="shared" si="18"/>
        <v/>
      </c>
      <c r="H189" s="1" t="e">
        <f t="shared" si="19"/>
        <v>#VALUE!</v>
      </c>
      <c r="I189" s="1" t="str">
        <f t="shared" si="20"/>
        <v/>
      </c>
    </row>
    <row r="190" spans="1:9">
      <c r="A190" s="4" t="str" cm="1">
        <f t="array" ref="A190">IFERROR(INDEX(貼付シート!$B$1:$B$10000,SMALL(貼付シート!$A$1:$A$10000,B190)),"")</f>
        <v/>
      </c>
      <c r="B190" s="1">
        <v>189</v>
      </c>
      <c r="C190" s="1" t="str">
        <f t="shared" si="14"/>
        <v/>
      </c>
      <c r="D190" s="1" t="str">
        <f t="shared" si="15"/>
        <v/>
      </c>
      <c r="E190" s="1" t="str">
        <f t="shared" si="16"/>
        <v/>
      </c>
      <c r="F190" s="1" t="str">
        <f t="shared" si="17"/>
        <v/>
      </c>
      <c r="G190" s="1" t="str">
        <f t="shared" si="18"/>
        <v/>
      </c>
      <c r="H190" s="1" t="e">
        <f t="shared" si="19"/>
        <v>#VALUE!</v>
      </c>
      <c r="I190" s="1" t="str">
        <f t="shared" si="20"/>
        <v/>
      </c>
    </row>
    <row r="191" spans="1:9">
      <c r="A191" s="4" t="str" cm="1">
        <f t="array" ref="A191">IFERROR(INDEX(貼付シート!$B$1:$B$10000,SMALL(貼付シート!$A$1:$A$10000,B191)),"")</f>
        <v/>
      </c>
      <c r="B191" s="1">
        <v>190</v>
      </c>
      <c r="C191" s="1" t="str">
        <f t="shared" si="14"/>
        <v/>
      </c>
      <c r="D191" s="1" t="str">
        <f t="shared" si="15"/>
        <v/>
      </c>
      <c r="E191" s="1" t="str">
        <f t="shared" si="16"/>
        <v/>
      </c>
      <c r="F191" s="1" t="str">
        <f t="shared" si="17"/>
        <v/>
      </c>
      <c r="G191" s="1" t="str">
        <f t="shared" si="18"/>
        <v/>
      </c>
      <c r="H191" s="1" t="e">
        <f t="shared" si="19"/>
        <v>#VALUE!</v>
      </c>
      <c r="I191" s="1" t="str">
        <f t="shared" si="20"/>
        <v/>
      </c>
    </row>
    <row r="192" spans="1:9">
      <c r="A192" s="4" t="str" cm="1">
        <f t="array" ref="A192">IFERROR(INDEX(貼付シート!$B$1:$B$10000,SMALL(貼付シート!$A$1:$A$10000,B192)),"")</f>
        <v/>
      </c>
      <c r="B192" s="1">
        <v>191</v>
      </c>
      <c r="C192" s="1" t="str">
        <f t="shared" si="14"/>
        <v/>
      </c>
      <c r="D192" s="1" t="str">
        <f t="shared" si="15"/>
        <v/>
      </c>
      <c r="E192" s="1" t="str">
        <f t="shared" si="16"/>
        <v/>
      </c>
      <c r="F192" s="1" t="str">
        <f t="shared" si="17"/>
        <v/>
      </c>
      <c r="G192" s="1" t="str">
        <f t="shared" si="18"/>
        <v/>
      </c>
      <c r="H192" s="1" t="e">
        <f t="shared" si="19"/>
        <v>#VALUE!</v>
      </c>
      <c r="I192" s="1" t="str">
        <f t="shared" si="20"/>
        <v/>
      </c>
    </row>
    <row r="193" spans="1:9">
      <c r="A193" s="4" t="str" cm="1">
        <f t="array" ref="A193">IFERROR(INDEX(貼付シート!$B$1:$B$10000,SMALL(貼付シート!$A$1:$A$10000,B193)),"")</f>
        <v/>
      </c>
      <c r="B193" s="1">
        <v>192</v>
      </c>
      <c r="C193" s="1" t="str">
        <f t="shared" si="14"/>
        <v/>
      </c>
      <c r="D193" s="1" t="str">
        <f t="shared" si="15"/>
        <v/>
      </c>
      <c r="E193" s="1" t="str">
        <f t="shared" si="16"/>
        <v/>
      </c>
      <c r="F193" s="1" t="str">
        <f t="shared" si="17"/>
        <v/>
      </c>
      <c r="G193" s="1" t="str">
        <f t="shared" si="18"/>
        <v/>
      </c>
      <c r="H193" s="1" t="e">
        <f t="shared" si="19"/>
        <v>#VALUE!</v>
      </c>
      <c r="I193" s="1" t="str">
        <f t="shared" si="20"/>
        <v/>
      </c>
    </row>
    <row r="194" spans="1:9">
      <c r="A194" s="4" t="str" cm="1">
        <f t="array" ref="A194">IFERROR(INDEX(貼付シート!$B$1:$B$10000,SMALL(貼付シート!$A$1:$A$10000,B194)),"")</f>
        <v/>
      </c>
      <c r="B194" s="1">
        <v>193</v>
      </c>
      <c r="C194" s="1" t="str">
        <f t="shared" si="14"/>
        <v/>
      </c>
      <c r="D194" s="1" t="str">
        <f t="shared" si="15"/>
        <v/>
      </c>
      <c r="E194" s="1" t="str">
        <f t="shared" si="16"/>
        <v/>
      </c>
      <c r="F194" s="1" t="str">
        <f t="shared" si="17"/>
        <v/>
      </c>
      <c r="G194" s="1" t="str">
        <f t="shared" si="18"/>
        <v/>
      </c>
      <c r="H194" s="1" t="e">
        <f t="shared" si="19"/>
        <v>#VALUE!</v>
      </c>
      <c r="I194" s="1" t="str">
        <f t="shared" si="20"/>
        <v/>
      </c>
    </row>
    <row r="195" spans="1:9">
      <c r="A195" s="4" t="str" cm="1">
        <f t="array" ref="A195">IFERROR(INDEX(貼付シート!$B$1:$B$10000,SMALL(貼付シート!$A$1:$A$10000,B195)),"")</f>
        <v/>
      </c>
      <c r="B195" s="1">
        <v>194</v>
      </c>
      <c r="C195" s="1" t="str">
        <f t="shared" ref="C195:C200" si="21">MIDB(A195,1,6)</f>
        <v/>
      </c>
      <c r="D195" s="1" t="str">
        <f t="shared" ref="D195:D200" si="22">MIDB(A195,8,9)</f>
        <v/>
      </c>
      <c r="E195" s="1" t="str">
        <f t="shared" ref="E195:E200" si="23">TRIM(MIDB(A195,18,23))</f>
        <v/>
      </c>
      <c r="F195" s="1" t="str">
        <f t="shared" ref="F195:F200" si="24">MIDB(A195,41,10)</f>
        <v/>
      </c>
      <c r="G195" s="1" t="str">
        <f t="shared" ref="G195:G200" si="25">TRIM(MIDB(A195,52,35))</f>
        <v/>
      </c>
      <c r="H195" s="1" t="e">
        <f t="shared" ref="H195:H200" si="26">VALUE(TRIM(MIDB(A195,85,10)))</f>
        <v>#VALUE!</v>
      </c>
      <c r="I195" s="1" t="str">
        <f t="shared" ref="I195:I200" si="27">TRIM(MIDB(A195,96,25))</f>
        <v/>
      </c>
    </row>
    <row r="196" spans="1:9">
      <c r="A196" s="4" t="str" cm="1">
        <f t="array" ref="A196">IFERROR(INDEX(貼付シート!$B$1:$B$10000,SMALL(貼付シート!$A$1:$A$10000,B196)),"")</f>
        <v/>
      </c>
      <c r="B196" s="1">
        <v>195</v>
      </c>
      <c r="C196" s="1" t="str">
        <f t="shared" si="21"/>
        <v/>
      </c>
      <c r="D196" s="1" t="str">
        <f t="shared" si="22"/>
        <v/>
      </c>
      <c r="E196" s="1" t="str">
        <f t="shared" si="23"/>
        <v/>
      </c>
      <c r="F196" s="1" t="str">
        <f t="shared" si="24"/>
        <v/>
      </c>
      <c r="G196" s="1" t="str">
        <f t="shared" si="25"/>
        <v/>
      </c>
      <c r="H196" s="1" t="e">
        <f t="shared" si="26"/>
        <v>#VALUE!</v>
      </c>
      <c r="I196" s="1" t="str">
        <f t="shared" si="27"/>
        <v/>
      </c>
    </row>
    <row r="197" spans="1:9">
      <c r="A197" s="4" t="str" cm="1">
        <f t="array" ref="A197">IFERROR(INDEX(貼付シート!$B$1:$B$10000,SMALL(貼付シート!$A$1:$A$10000,B197)),"")</f>
        <v/>
      </c>
      <c r="B197" s="1">
        <v>196</v>
      </c>
      <c r="C197" s="1" t="str">
        <f t="shared" si="21"/>
        <v/>
      </c>
      <c r="D197" s="1" t="str">
        <f t="shared" si="22"/>
        <v/>
      </c>
      <c r="E197" s="1" t="str">
        <f t="shared" si="23"/>
        <v/>
      </c>
      <c r="F197" s="1" t="str">
        <f t="shared" si="24"/>
        <v/>
      </c>
      <c r="G197" s="1" t="str">
        <f t="shared" si="25"/>
        <v/>
      </c>
      <c r="H197" s="1" t="e">
        <f t="shared" si="26"/>
        <v>#VALUE!</v>
      </c>
      <c r="I197" s="1" t="str">
        <f t="shared" si="27"/>
        <v/>
      </c>
    </row>
    <row r="198" spans="1:9">
      <c r="A198" s="4" t="str" cm="1">
        <f t="array" ref="A198">IFERROR(INDEX(貼付シート!$B$1:$B$10000,SMALL(貼付シート!$A$1:$A$10000,B198)),"")</f>
        <v/>
      </c>
      <c r="B198" s="1">
        <v>197</v>
      </c>
      <c r="C198" s="1" t="str">
        <f t="shared" si="21"/>
        <v/>
      </c>
      <c r="D198" s="1" t="str">
        <f t="shared" si="22"/>
        <v/>
      </c>
      <c r="E198" s="1" t="str">
        <f t="shared" si="23"/>
        <v/>
      </c>
      <c r="F198" s="1" t="str">
        <f t="shared" si="24"/>
        <v/>
      </c>
      <c r="G198" s="1" t="str">
        <f t="shared" si="25"/>
        <v/>
      </c>
      <c r="H198" s="1" t="e">
        <f t="shared" si="26"/>
        <v>#VALUE!</v>
      </c>
      <c r="I198" s="1" t="str">
        <f t="shared" si="27"/>
        <v/>
      </c>
    </row>
    <row r="199" spans="1:9">
      <c r="A199" s="4" t="str" cm="1">
        <f t="array" ref="A199">IFERROR(INDEX(貼付シート!$B$1:$B$10000,SMALL(貼付シート!$A$1:$A$10000,B199)),"")</f>
        <v/>
      </c>
      <c r="B199" s="1">
        <v>198</v>
      </c>
      <c r="C199" s="1" t="str">
        <f t="shared" si="21"/>
        <v/>
      </c>
      <c r="D199" s="1" t="str">
        <f t="shared" si="22"/>
        <v/>
      </c>
      <c r="E199" s="1" t="str">
        <f t="shared" si="23"/>
        <v/>
      </c>
      <c r="F199" s="1" t="str">
        <f t="shared" si="24"/>
        <v/>
      </c>
      <c r="G199" s="1" t="str">
        <f t="shared" si="25"/>
        <v/>
      </c>
      <c r="H199" s="1" t="e">
        <f t="shared" si="26"/>
        <v>#VALUE!</v>
      </c>
      <c r="I199" s="1" t="str">
        <f t="shared" si="27"/>
        <v/>
      </c>
    </row>
    <row r="200" spans="1:9">
      <c r="A200" s="4" t="str" cm="1">
        <f t="array" ref="A200">IFERROR(INDEX(貼付シート!$B$1:$B$10000,SMALL(貼付シート!$A$1:$A$10000,B200)),"")</f>
        <v/>
      </c>
      <c r="B200" s="1">
        <v>199</v>
      </c>
      <c r="C200" s="1" t="str">
        <f t="shared" si="21"/>
        <v/>
      </c>
      <c r="D200" s="1" t="str">
        <f t="shared" si="22"/>
        <v/>
      </c>
      <c r="E200" s="1" t="str">
        <f t="shared" si="23"/>
        <v/>
      </c>
      <c r="F200" s="1" t="str">
        <f t="shared" si="24"/>
        <v/>
      </c>
      <c r="G200" s="1" t="str">
        <f t="shared" si="25"/>
        <v/>
      </c>
      <c r="H200" s="1" t="e">
        <f t="shared" si="26"/>
        <v>#VALUE!</v>
      </c>
      <c r="I200" s="1" t="str">
        <f t="shared" si="27"/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5F4F-D2B6-4BB9-AD66-A10D55F3134D}">
  <dimension ref="A1:A211"/>
  <sheetViews>
    <sheetView workbookViewId="0">
      <selection activeCell="B193" sqref="B193"/>
    </sheetView>
  </sheetViews>
  <sheetFormatPr defaultRowHeight="17.649999999999999"/>
  <cols>
    <col min="1" max="1" width="15.9375" customWidth="1"/>
    <col min="2" max="2" width="73.1875" customWidth="1"/>
  </cols>
  <sheetData>
    <row r="1" spans="1:1">
      <c r="A1" t="s">
        <v>97</v>
      </c>
    </row>
    <row r="3" spans="1:1">
      <c r="A3" t="s">
        <v>98</v>
      </c>
    </row>
    <row r="5" spans="1:1">
      <c r="A5" t="s">
        <v>99</v>
      </c>
    </row>
    <row r="6" spans="1:1">
      <c r="A6" t="s">
        <v>208</v>
      </c>
    </row>
    <row r="7" spans="1:1">
      <c r="A7" t="s">
        <v>207</v>
      </c>
    </row>
    <row r="8" spans="1:1">
      <c r="A8" t="s">
        <v>100</v>
      </c>
    </row>
    <row r="9" spans="1:1">
      <c r="A9" t="s">
        <v>101</v>
      </c>
    </row>
    <row r="10" spans="1:1">
      <c r="A10" t="s">
        <v>109</v>
      </c>
    </row>
    <row r="12" spans="1:1">
      <c r="A12" t="s">
        <v>102</v>
      </c>
    </row>
    <row r="15" spans="1:1">
      <c r="A15" t="s">
        <v>110</v>
      </c>
    </row>
    <row r="17" spans="1:1">
      <c r="A17" t="s">
        <v>111</v>
      </c>
    </row>
    <row r="18" spans="1:1">
      <c r="A18" t="s">
        <v>112</v>
      </c>
    </row>
    <row r="19" spans="1:1">
      <c r="A19" t="s">
        <v>113</v>
      </c>
    </row>
    <row r="20" spans="1:1">
      <c r="A20" t="s">
        <v>114</v>
      </c>
    </row>
    <row r="21" spans="1:1">
      <c r="A21" t="s">
        <v>115</v>
      </c>
    </row>
    <row r="22" spans="1:1">
      <c r="A22" t="s">
        <v>116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7" spans="1:1">
      <c r="A27" t="s">
        <v>120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  <row r="33" spans="1:1">
      <c r="A33" t="s">
        <v>126</v>
      </c>
    </row>
    <row r="34" spans="1:1">
      <c r="A34" t="s">
        <v>127</v>
      </c>
    </row>
    <row r="35" spans="1:1">
      <c r="A35" t="s">
        <v>128</v>
      </c>
    </row>
    <row r="37" spans="1:1">
      <c r="A37" t="s">
        <v>129</v>
      </c>
    </row>
    <row r="38" spans="1:1">
      <c r="A38" t="s">
        <v>130</v>
      </c>
    </row>
    <row r="39" spans="1:1">
      <c r="A39" t="s">
        <v>131</v>
      </c>
    </row>
    <row r="40" spans="1:1">
      <c r="A40" t="s">
        <v>132</v>
      </c>
    </row>
    <row r="41" spans="1:1">
      <c r="A41" t="s">
        <v>133</v>
      </c>
    </row>
    <row r="42" spans="1:1">
      <c r="A42" t="s">
        <v>134</v>
      </c>
    </row>
    <row r="45" spans="1:1">
      <c r="A45" t="s">
        <v>135</v>
      </c>
    </row>
    <row r="47" spans="1:1">
      <c r="A47" t="s">
        <v>136</v>
      </c>
    </row>
    <row r="48" spans="1:1">
      <c r="A48" t="s">
        <v>137</v>
      </c>
    </row>
    <row r="49" spans="1:1">
      <c r="A49" t="s">
        <v>136</v>
      </c>
    </row>
    <row r="50" spans="1:1">
      <c r="A50" t="s">
        <v>138</v>
      </c>
    </row>
    <row r="51" spans="1:1">
      <c r="A51" t="s">
        <v>139</v>
      </c>
    </row>
    <row r="52" spans="1:1">
      <c r="A52" t="s">
        <v>140</v>
      </c>
    </row>
    <row r="55" spans="1:1">
      <c r="A55" t="s">
        <v>136</v>
      </c>
    </row>
    <row r="56" spans="1:1">
      <c r="A56" t="s">
        <v>141</v>
      </c>
    </row>
    <row r="57" spans="1:1">
      <c r="A57" t="s">
        <v>136</v>
      </c>
    </row>
    <row r="58" spans="1:1">
      <c r="A58" t="s">
        <v>103</v>
      </c>
    </row>
    <row r="60" spans="1:1">
      <c r="A60" t="s">
        <v>142</v>
      </c>
    </row>
    <row r="61" spans="1:1">
      <c r="A61" t="s">
        <v>143</v>
      </c>
    </row>
    <row r="62" spans="1:1">
      <c r="A62" t="s">
        <v>144</v>
      </c>
    </row>
    <row r="63" spans="1:1">
      <c r="A63" t="s">
        <v>145</v>
      </c>
    </row>
    <row r="64" spans="1:1">
      <c r="A64" t="s">
        <v>232</v>
      </c>
    </row>
    <row r="65" spans="1:1">
      <c r="A65" t="s">
        <v>233</v>
      </c>
    </row>
    <row r="66" spans="1:1">
      <c r="A66" t="s">
        <v>234</v>
      </c>
    </row>
    <row r="67" spans="1:1">
      <c r="A67" t="s">
        <v>235</v>
      </c>
    </row>
    <row r="68" spans="1:1">
      <c r="A68" t="s">
        <v>236</v>
      </c>
    </row>
    <row r="70" spans="1:1">
      <c r="A70" t="s">
        <v>146</v>
      </c>
    </row>
    <row r="73" spans="1:1">
      <c r="A73" t="s">
        <v>136</v>
      </c>
    </row>
    <row r="74" spans="1:1">
      <c r="A74" t="s">
        <v>147</v>
      </c>
    </row>
    <row r="75" spans="1:1">
      <c r="A75" t="s">
        <v>136</v>
      </c>
    </row>
    <row r="76" spans="1:1">
      <c r="A76" t="s">
        <v>148</v>
      </c>
    </row>
    <row r="77" spans="1:1">
      <c r="A77" t="s">
        <v>149</v>
      </c>
    </row>
    <row r="79" spans="1:1">
      <c r="A79" t="s">
        <v>150</v>
      </c>
    </row>
    <row r="80" spans="1:1">
      <c r="A80" t="s">
        <v>151</v>
      </c>
    </row>
    <row r="81" spans="1:1">
      <c r="A81" t="s">
        <v>152</v>
      </c>
    </row>
    <row r="82" spans="1:1">
      <c r="A82" t="s">
        <v>153</v>
      </c>
    </row>
    <row r="83" spans="1:1">
      <c r="A83" t="s">
        <v>154</v>
      </c>
    </row>
    <row r="84" spans="1:1">
      <c r="A84" t="s">
        <v>155</v>
      </c>
    </row>
    <row r="85" spans="1:1">
      <c r="A85" t="s">
        <v>156</v>
      </c>
    </row>
    <row r="86" spans="1:1">
      <c r="A86" t="s">
        <v>157</v>
      </c>
    </row>
    <row r="88" spans="1:1">
      <c r="A88" t="s">
        <v>158</v>
      </c>
    </row>
    <row r="89" spans="1:1">
      <c r="A89" t="s">
        <v>159</v>
      </c>
    </row>
    <row r="92" spans="1:1">
      <c r="A92" t="s">
        <v>136</v>
      </c>
    </row>
    <row r="93" spans="1:1">
      <c r="A93" t="s">
        <v>160</v>
      </c>
    </row>
    <row r="94" spans="1:1">
      <c r="A94" t="s">
        <v>136</v>
      </c>
    </row>
    <row r="95" spans="1:1">
      <c r="A95" t="s">
        <v>161</v>
      </c>
    </row>
    <row r="96" spans="1:1">
      <c r="A96" t="s">
        <v>162</v>
      </c>
    </row>
    <row r="98" spans="1:1">
      <c r="A98" t="s">
        <v>163</v>
      </c>
    </row>
    <row r="99" spans="1:1">
      <c r="A99" t="s">
        <v>164</v>
      </c>
    </row>
    <row r="100" spans="1:1">
      <c r="A100" t="s">
        <v>165</v>
      </c>
    </row>
    <row r="101" spans="1:1">
      <c r="A101" t="s">
        <v>237</v>
      </c>
    </row>
    <row r="102" spans="1:1">
      <c r="A102" t="s">
        <v>238</v>
      </c>
    </row>
    <row r="103" spans="1:1">
      <c r="A103" t="s">
        <v>239</v>
      </c>
    </row>
    <row r="104" spans="1:1">
      <c r="A104" t="s">
        <v>240</v>
      </c>
    </row>
    <row r="105" spans="1:1">
      <c r="A105" t="s">
        <v>241</v>
      </c>
    </row>
    <row r="107" spans="1:1">
      <c r="A107" t="s">
        <v>166</v>
      </c>
    </row>
    <row r="108" spans="1:1">
      <c r="A108" t="s">
        <v>167</v>
      </c>
    </row>
    <row r="110" spans="1:1">
      <c r="A110" t="s">
        <v>168</v>
      </c>
    </row>
    <row r="111" spans="1:1">
      <c r="A111" t="s">
        <v>169</v>
      </c>
    </row>
    <row r="112" spans="1:1">
      <c r="A112" t="s">
        <v>170</v>
      </c>
    </row>
    <row r="115" spans="1:1">
      <c r="A115" t="s">
        <v>136</v>
      </c>
    </row>
    <row r="116" spans="1:1">
      <c r="A116" t="s">
        <v>171</v>
      </c>
    </row>
    <row r="117" spans="1:1">
      <c r="A117" t="s">
        <v>136</v>
      </c>
    </row>
    <row r="118" spans="1:1">
      <c r="A118" t="s">
        <v>172</v>
      </c>
    </row>
    <row r="119" spans="1:1">
      <c r="A119" t="s">
        <v>173</v>
      </c>
    </row>
    <row r="120" spans="1:1">
      <c r="A120" t="s">
        <v>174</v>
      </c>
    </row>
    <row r="121" spans="1:1">
      <c r="A121" t="s">
        <v>175</v>
      </c>
    </row>
    <row r="122" spans="1:1">
      <c r="A122" t="s">
        <v>176</v>
      </c>
    </row>
    <row r="124" spans="1:1">
      <c r="A124" t="s">
        <v>177</v>
      </c>
    </row>
    <row r="125" spans="1:1">
      <c r="A125" t="s">
        <v>178</v>
      </c>
    </row>
    <row r="128" spans="1:1">
      <c r="A128" t="s">
        <v>136</v>
      </c>
    </row>
    <row r="129" spans="1:1">
      <c r="A129" t="s">
        <v>179</v>
      </c>
    </row>
    <row r="130" spans="1:1">
      <c r="A130" t="s">
        <v>136</v>
      </c>
    </row>
    <row r="131" spans="1:1">
      <c r="A131" t="s">
        <v>209</v>
      </c>
    </row>
    <row r="132" spans="1:1">
      <c r="A132" t="s">
        <v>210</v>
      </c>
    </row>
    <row r="133" spans="1:1">
      <c r="A133" t="s">
        <v>104</v>
      </c>
    </row>
    <row r="134" spans="1:1">
      <c r="A134" t="s">
        <v>105</v>
      </c>
    </row>
    <row r="135" spans="1:1">
      <c r="A135" t="s">
        <v>180</v>
      </c>
    </row>
    <row r="137" spans="1:1">
      <c r="A137" t="s">
        <v>181</v>
      </c>
    </row>
    <row r="138" spans="1:1">
      <c r="A138" t="s">
        <v>182</v>
      </c>
    </row>
    <row r="139" spans="1:1">
      <c r="A139" t="s">
        <v>183</v>
      </c>
    </row>
    <row r="140" spans="1:1">
      <c r="A140" t="s">
        <v>184</v>
      </c>
    </row>
    <row r="141" spans="1:1">
      <c r="A141" t="s">
        <v>185</v>
      </c>
    </row>
    <row r="142" spans="1:1">
      <c r="A142" t="s">
        <v>186</v>
      </c>
    </row>
    <row r="145" spans="1:1">
      <c r="A145" t="s">
        <v>211</v>
      </c>
    </row>
    <row r="147" spans="1:1">
      <c r="A147" t="s">
        <v>212</v>
      </c>
    </row>
    <row r="148" spans="1:1">
      <c r="A148" t="s">
        <v>213</v>
      </c>
    </row>
    <row r="149" spans="1:1">
      <c r="A149" t="s">
        <v>214</v>
      </c>
    </row>
    <row r="150" spans="1:1">
      <c r="A150" t="s">
        <v>215</v>
      </c>
    </row>
    <row r="151" spans="1:1">
      <c r="A151" t="s">
        <v>216</v>
      </c>
    </row>
    <row r="154" spans="1:1">
      <c r="A154" t="s">
        <v>106</v>
      </c>
    </row>
    <row r="156" spans="1:1">
      <c r="A156" t="s">
        <v>217</v>
      </c>
    </row>
    <row r="157" spans="1:1">
      <c r="A157" t="s">
        <v>218</v>
      </c>
    </row>
    <row r="158" spans="1:1">
      <c r="A158" t="s">
        <v>187</v>
      </c>
    </row>
    <row r="159" spans="1:1">
      <c r="A159" t="s">
        <v>188</v>
      </c>
    </row>
    <row r="160" spans="1:1">
      <c r="A160" t="s">
        <v>189</v>
      </c>
    </row>
    <row r="162" spans="1:1">
      <c r="A162" t="s">
        <v>190</v>
      </c>
    </row>
    <row r="164" spans="1:1">
      <c r="A164" t="s">
        <v>191</v>
      </c>
    </row>
    <row r="165" spans="1:1">
      <c r="A165" t="s">
        <v>192</v>
      </c>
    </row>
    <row r="168" spans="1:1">
      <c r="A168" t="s">
        <v>107</v>
      </c>
    </row>
    <row r="170" spans="1:1">
      <c r="A170" t="s">
        <v>193</v>
      </c>
    </row>
    <row r="171" spans="1:1">
      <c r="A171" t="s">
        <v>194</v>
      </c>
    </row>
    <row r="172" spans="1:1">
      <c r="A172" t="s">
        <v>195</v>
      </c>
    </row>
    <row r="174" spans="1:1">
      <c r="A174" t="s">
        <v>196</v>
      </c>
    </row>
    <row r="177" spans="1:1">
      <c r="A177" t="s">
        <v>108</v>
      </c>
    </row>
    <row r="179" spans="1:1">
      <c r="A179" t="s">
        <v>197</v>
      </c>
    </row>
    <row r="181" spans="1:1">
      <c r="A181" t="s">
        <v>198</v>
      </c>
    </row>
    <row r="182" spans="1:1">
      <c r="A182" t="s">
        <v>199</v>
      </c>
    </row>
    <row r="183" spans="1:1">
      <c r="A183" t="s">
        <v>200</v>
      </c>
    </row>
    <row r="184" spans="1:1">
      <c r="A184" t="s">
        <v>201</v>
      </c>
    </row>
    <row r="186" spans="1:1">
      <c r="A186" t="s">
        <v>202</v>
      </c>
    </row>
    <row r="188" spans="1:1">
      <c r="A188" t="s">
        <v>203</v>
      </c>
    </row>
    <row r="189" spans="1:1">
      <c r="A189" t="s">
        <v>204</v>
      </c>
    </row>
    <row r="190" spans="1:1">
      <c r="A190" t="s">
        <v>205</v>
      </c>
    </row>
    <row r="193" spans="1:1">
      <c r="A193" t="s">
        <v>206</v>
      </c>
    </row>
    <row r="196" spans="1:1">
      <c r="A196" t="s">
        <v>219</v>
      </c>
    </row>
    <row r="198" spans="1:1">
      <c r="A198" t="s">
        <v>220</v>
      </c>
    </row>
    <row r="199" spans="1:1">
      <c r="A199" t="s">
        <v>221</v>
      </c>
    </row>
    <row r="200" spans="1:1">
      <c r="A200" t="s">
        <v>222</v>
      </c>
    </row>
    <row r="201" spans="1:1">
      <c r="A201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10" spans="1:1">
      <c r="A210" t="s">
        <v>230</v>
      </c>
    </row>
    <row r="211" spans="1:1">
      <c r="A211" t="s">
        <v>231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A869-1270-42B0-BFF0-BCA128D13A2B}">
  <dimension ref="A1:A29"/>
  <sheetViews>
    <sheetView workbookViewId="0">
      <selection activeCell="F21" sqref="F21"/>
    </sheetView>
  </sheetViews>
  <sheetFormatPr defaultRowHeight="17.649999999999999"/>
  <sheetData>
    <row r="1" spans="1:1" ht="21.75">
      <c r="A1" s="5" t="s">
        <v>242</v>
      </c>
    </row>
    <row r="3" spans="1:1">
      <c r="A3" t="s">
        <v>243</v>
      </c>
    </row>
    <row r="5" spans="1:1" ht="19.899999999999999">
      <c r="A5" s="6" t="s">
        <v>244</v>
      </c>
    </row>
    <row r="7" spans="1:1">
      <c r="A7" t="s">
        <v>245</v>
      </c>
    </row>
    <row r="8" spans="1:1">
      <c r="A8" s="7"/>
    </row>
    <row r="9" spans="1:1">
      <c r="A9" s="8" t="s">
        <v>246</v>
      </c>
    </row>
    <row r="10" spans="1:1">
      <c r="A10" s="7"/>
    </row>
    <row r="11" spans="1:1">
      <c r="A11" s="8" t="s">
        <v>247</v>
      </c>
    </row>
    <row r="13" spans="1:1" ht="19.899999999999999">
      <c r="A13" s="6" t="s">
        <v>248</v>
      </c>
    </row>
    <row r="15" spans="1:1">
      <c r="A15" t="s">
        <v>249</v>
      </c>
    </row>
    <row r="16" spans="1:1">
      <c r="A16" s="7"/>
    </row>
    <row r="17" spans="1:1">
      <c r="A17" s="8" t="s">
        <v>256</v>
      </c>
    </row>
    <row r="18" spans="1:1">
      <c r="A18" s="7"/>
    </row>
    <row r="19" spans="1:1">
      <c r="A19" s="8" t="s">
        <v>255</v>
      </c>
    </row>
    <row r="21" spans="1:1" ht="19.899999999999999">
      <c r="A21" s="6" t="s">
        <v>250</v>
      </c>
    </row>
    <row r="23" spans="1:1">
      <c r="A23" t="s">
        <v>251</v>
      </c>
    </row>
    <row r="24" spans="1:1">
      <c r="A24" s="7"/>
    </row>
    <row r="25" spans="1:1">
      <c r="A25" s="8" t="s">
        <v>252</v>
      </c>
    </row>
    <row r="26" spans="1:1">
      <c r="A26" s="7"/>
    </row>
    <row r="27" spans="1:1">
      <c r="A27" s="8" t="s">
        <v>253</v>
      </c>
    </row>
    <row r="28" spans="1:1">
      <c r="A28" s="7"/>
    </row>
    <row r="29" spans="1:1">
      <c r="A29" s="8" t="s">
        <v>254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貼付シート</vt:lpstr>
      <vt:lpstr>抽出シート</vt:lpstr>
      <vt:lpstr>手順書</vt:lpstr>
      <vt:lpstr>コラム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2026-04-15T02:24:50Z</dcterms:created>
  <dcterms:modified xsi:type="dcterms:W3CDTF">2026-04-15T06:20:56Z</dcterms:modified>
</cp:coreProperties>
</file>